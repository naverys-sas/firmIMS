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ower-0\Downloads\"/>
    </mc:Choice>
  </mc:AlternateContent>
  <bookViews>
    <workbookView xWindow="0" yWindow="0" windowWidth="22980" windowHeight="8940"/>
  </bookViews>
  <sheets>
    <sheet name="Fault Codes" sheetId="1" r:id="rId1"/>
  </sheets>
  <definedNames>
    <definedName name="_xlnm._FilterDatabase" localSheetId="0" hidden="1">'Fault Codes'!$B$4:$K$223</definedName>
  </definedNames>
  <calcPr calcId="162913"/>
</workbook>
</file>

<file path=xl/calcChain.xml><?xml version="1.0" encoding="utf-8"?>
<calcChain xmlns="http://schemas.openxmlformats.org/spreadsheetml/2006/main">
  <c r="F7" i="1" l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6" i="1"/>
  <c r="E6" i="1"/>
  <c r="E94" i="1" l="1"/>
  <c r="H94" i="1"/>
  <c r="G94" i="1"/>
  <c r="E42" i="1"/>
  <c r="H42" i="1"/>
  <c r="G42" i="1"/>
  <c r="H8" i="1"/>
  <c r="G8" i="1"/>
  <c r="E8" i="1"/>
  <c r="E81" i="1"/>
  <c r="H81" i="1"/>
  <c r="G81" i="1"/>
  <c r="E97" i="1"/>
  <c r="H97" i="1"/>
  <c r="G97" i="1"/>
  <c r="G6" i="1"/>
  <c r="H6" i="1"/>
  <c r="E7" i="1"/>
  <c r="G7" i="1"/>
  <c r="H7" i="1"/>
  <c r="E9" i="1"/>
  <c r="G9" i="1"/>
  <c r="H9" i="1"/>
  <c r="E10" i="1"/>
  <c r="G10" i="1"/>
  <c r="H10" i="1"/>
  <c r="E11" i="1"/>
  <c r="G11" i="1"/>
  <c r="H11" i="1"/>
  <c r="E12" i="1"/>
  <c r="G12" i="1"/>
  <c r="H12" i="1"/>
  <c r="E13" i="1"/>
  <c r="G13" i="1"/>
  <c r="H13" i="1"/>
  <c r="E14" i="1"/>
  <c r="G14" i="1"/>
  <c r="H14" i="1"/>
  <c r="E15" i="1"/>
  <c r="G15" i="1"/>
  <c r="H15" i="1"/>
  <c r="E16" i="1"/>
  <c r="G16" i="1"/>
  <c r="H16" i="1"/>
  <c r="E17" i="1"/>
  <c r="G17" i="1"/>
  <c r="H17" i="1"/>
  <c r="E18" i="1"/>
  <c r="G18" i="1"/>
  <c r="H18" i="1"/>
  <c r="E19" i="1"/>
  <c r="G19" i="1"/>
  <c r="H19" i="1"/>
  <c r="E20" i="1"/>
  <c r="G20" i="1"/>
  <c r="H20" i="1"/>
  <c r="E21" i="1"/>
  <c r="G21" i="1"/>
  <c r="H21" i="1"/>
  <c r="E22" i="1"/>
  <c r="G22" i="1"/>
  <c r="H22" i="1"/>
  <c r="E23" i="1"/>
  <c r="G23" i="1"/>
  <c r="H23" i="1"/>
  <c r="E24" i="1"/>
  <c r="G24" i="1"/>
  <c r="H24" i="1"/>
  <c r="E25" i="1"/>
  <c r="G25" i="1"/>
  <c r="H25" i="1"/>
  <c r="E26" i="1"/>
  <c r="G26" i="1"/>
  <c r="H26" i="1"/>
  <c r="E27" i="1"/>
  <c r="G27" i="1"/>
  <c r="H27" i="1"/>
  <c r="E28" i="1"/>
  <c r="G28" i="1"/>
  <c r="H28" i="1"/>
  <c r="E29" i="1"/>
  <c r="G29" i="1"/>
  <c r="H29" i="1"/>
  <c r="E30" i="1"/>
  <c r="G30" i="1"/>
  <c r="H30" i="1"/>
  <c r="E31" i="1"/>
  <c r="G31" i="1"/>
  <c r="H31" i="1"/>
  <c r="E32" i="1"/>
  <c r="G32" i="1"/>
  <c r="H32" i="1"/>
  <c r="E33" i="1"/>
  <c r="G33" i="1"/>
  <c r="H33" i="1"/>
  <c r="E34" i="1"/>
  <c r="G34" i="1"/>
  <c r="H34" i="1"/>
  <c r="E35" i="1"/>
  <c r="G35" i="1"/>
  <c r="H35" i="1"/>
  <c r="E36" i="1"/>
  <c r="G36" i="1"/>
  <c r="H36" i="1"/>
  <c r="E37" i="1"/>
  <c r="G37" i="1"/>
  <c r="H37" i="1"/>
  <c r="E38" i="1"/>
  <c r="G38" i="1"/>
  <c r="H38" i="1"/>
  <c r="E39" i="1"/>
  <c r="G39" i="1"/>
  <c r="H39" i="1"/>
  <c r="E40" i="1"/>
  <c r="G40" i="1"/>
  <c r="H40" i="1"/>
  <c r="E41" i="1"/>
  <c r="G41" i="1"/>
  <c r="H41" i="1"/>
  <c r="E43" i="1"/>
  <c r="G43" i="1"/>
  <c r="H43" i="1"/>
  <c r="E44" i="1"/>
  <c r="G44" i="1"/>
  <c r="H44" i="1"/>
  <c r="E45" i="1"/>
  <c r="G45" i="1"/>
  <c r="H45" i="1"/>
  <c r="E46" i="1"/>
  <c r="G46" i="1"/>
  <c r="H46" i="1"/>
  <c r="E47" i="1"/>
  <c r="G47" i="1"/>
  <c r="H47" i="1"/>
  <c r="G48" i="1"/>
  <c r="E49" i="1"/>
  <c r="G49" i="1"/>
  <c r="H49" i="1"/>
  <c r="E50" i="1"/>
  <c r="G50" i="1"/>
  <c r="H50" i="1"/>
  <c r="E51" i="1"/>
  <c r="G51" i="1"/>
  <c r="H51" i="1"/>
  <c r="E52" i="1"/>
  <c r="G52" i="1"/>
  <c r="H52" i="1"/>
  <c r="E53" i="1"/>
  <c r="G53" i="1"/>
  <c r="H53" i="1"/>
  <c r="E54" i="1"/>
  <c r="G54" i="1"/>
  <c r="H54" i="1"/>
  <c r="E55" i="1"/>
  <c r="G55" i="1"/>
  <c r="H55" i="1"/>
  <c r="E56" i="1"/>
  <c r="G56" i="1"/>
  <c r="H56" i="1"/>
  <c r="E57" i="1"/>
  <c r="G57" i="1"/>
  <c r="H57" i="1"/>
  <c r="E58" i="1"/>
  <c r="G58" i="1"/>
  <c r="H58" i="1"/>
  <c r="E59" i="1"/>
  <c r="G59" i="1"/>
  <c r="H59" i="1"/>
  <c r="E60" i="1"/>
  <c r="G60" i="1"/>
  <c r="H60" i="1"/>
  <c r="E61" i="1"/>
  <c r="G61" i="1"/>
  <c r="H61" i="1"/>
  <c r="E62" i="1"/>
  <c r="G62" i="1"/>
  <c r="H62" i="1"/>
  <c r="E63" i="1"/>
  <c r="G63" i="1"/>
  <c r="H63" i="1"/>
  <c r="E64" i="1"/>
  <c r="G64" i="1"/>
  <c r="H64" i="1"/>
  <c r="E65" i="1"/>
  <c r="G65" i="1"/>
  <c r="H65" i="1"/>
  <c r="E67" i="1"/>
  <c r="G67" i="1"/>
  <c r="H67" i="1"/>
  <c r="E68" i="1"/>
  <c r="G68" i="1"/>
  <c r="H68" i="1"/>
  <c r="E69" i="1"/>
  <c r="G69" i="1"/>
  <c r="H69" i="1"/>
  <c r="E70" i="1"/>
  <c r="G70" i="1"/>
  <c r="H70" i="1"/>
  <c r="E71" i="1"/>
  <c r="G71" i="1"/>
  <c r="H71" i="1"/>
  <c r="E72" i="1"/>
  <c r="G72" i="1"/>
  <c r="H72" i="1"/>
  <c r="E73" i="1"/>
  <c r="G73" i="1"/>
  <c r="H73" i="1"/>
  <c r="E74" i="1"/>
  <c r="G74" i="1"/>
  <c r="H74" i="1"/>
  <c r="E75" i="1"/>
  <c r="G75" i="1"/>
  <c r="H75" i="1"/>
  <c r="E76" i="1"/>
  <c r="G76" i="1"/>
  <c r="H76" i="1"/>
  <c r="E77" i="1"/>
  <c r="G77" i="1"/>
  <c r="H77" i="1"/>
  <c r="E78" i="1"/>
  <c r="G78" i="1"/>
  <c r="H78" i="1"/>
  <c r="E79" i="1"/>
  <c r="G79" i="1"/>
  <c r="H79" i="1"/>
  <c r="E80" i="1"/>
  <c r="G80" i="1"/>
  <c r="H80" i="1"/>
  <c r="E82" i="1"/>
  <c r="G82" i="1"/>
  <c r="H82" i="1"/>
  <c r="E83" i="1"/>
  <c r="G83" i="1"/>
  <c r="H83" i="1"/>
  <c r="E84" i="1"/>
  <c r="G84" i="1"/>
  <c r="H84" i="1"/>
  <c r="E85" i="1"/>
  <c r="G85" i="1"/>
  <c r="H85" i="1"/>
  <c r="E86" i="1"/>
  <c r="G86" i="1"/>
  <c r="H86" i="1"/>
  <c r="E87" i="1"/>
  <c r="G87" i="1"/>
  <c r="H87" i="1"/>
  <c r="E88" i="1"/>
  <c r="G88" i="1"/>
  <c r="H88" i="1"/>
  <c r="E89" i="1"/>
  <c r="G89" i="1"/>
  <c r="H89" i="1"/>
  <c r="E90" i="1"/>
  <c r="G90" i="1"/>
  <c r="H90" i="1"/>
  <c r="E91" i="1"/>
  <c r="G91" i="1"/>
  <c r="H91" i="1"/>
  <c r="E92" i="1"/>
  <c r="G92" i="1"/>
  <c r="H92" i="1"/>
  <c r="E93" i="1"/>
  <c r="G93" i="1"/>
  <c r="H93" i="1"/>
  <c r="E95" i="1"/>
  <c r="G95" i="1"/>
  <c r="H95" i="1"/>
  <c r="E96" i="1"/>
  <c r="G96" i="1"/>
  <c r="H96" i="1"/>
  <c r="E98" i="1"/>
  <c r="G98" i="1"/>
  <c r="H98" i="1"/>
  <c r="E99" i="1"/>
  <c r="G99" i="1"/>
  <c r="H99" i="1"/>
  <c r="E100" i="1"/>
  <c r="G100" i="1"/>
  <c r="H100" i="1"/>
  <c r="E101" i="1"/>
  <c r="G101" i="1"/>
  <c r="H101" i="1"/>
  <c r="E102" i="1"/>
  <c r="G102" i="1"/>
  <c r="H102" i="1"/>
  <c r="E103" i="1"/>
  <c r="G103" i="1"/>
  <c r="H103" i="1"/>
  <c r="E104" i="1"/>
  <c r="G104" i="1"/>
  <c r="H104" i="1"/>
  <c r="E105" i="1"/>
  <c r="G105" i="1"/>
  <c r="H105" i="1"/>
  <c r="E106" i="1"/>
  <c r="G106" i="1"/>
  <c r="H106" i="1"/>
  <c r="E107" i="1"/>
  <c r="G107" i="1"/>
  <c r="H107" i="1"/>
  <c r="E108" i="1"/>
  <c r="G108" i="1"/>
  <c r="H108" i="1"/>
  <c r="E109" i="1"/>
  <c r="G109" i="1"/>
  <c r="H109" i="1"/>
  <c r="E110" i="1"/>
  <c r="G110" i="1"/>
  <c r="H110" i="1"/>
  <c r="E111" i="1"/>
  <c r="G111" i="1"/>
  <c r="H111" i="1"/>
  <c r="E112" i="1"/>
  <c r="G112" i="1"/>
  <c r="H112" i="1"/>
  <c r="E113" i="1"/>
  <c r="G113" i="1"/>
  <c r="H113" i="1"/>
  <c r="E114" i="1"/>
  <c r="G114" i="1"/>
  <c r="H114" i="1"/>
  <c r="E115" i="1"/>
  <c r="G115" i="1"/>
  <c r="H115" i="1"/>
  <c r="E116" i="1"/>
  <c r="G116" i="1"/>
  <c r="H116" i="1"/>
  <c r="E117" i="1"/>
  <c r="G117" i="1"/>
  <c r="H117" i="1"/>
  <c r="E118" i="1"/>
  <c r="G118" i="1"/>
  <c r="H118" i="1"/>
  <c r="E119" i="1"/>
  <c r="G119" i="1"/>
  <c r="H119" i="1"/>
  <c r="E120" i="1"/>
  <c r="G120" i="1"/>
  <c r="H120" i="1"/>
  <c r="E121" i="1"/>
  <c r="G121" i="1"/>
  <c r="H121" i="1"/>
  <c r="E122" i="1"/>
  <c r="G122" i="1"/>
  <c r="H122" i="1"/>
  <c r="E123" i="1"/>
  <c r="G123" i="1"/>
  <c r="H123" i="1"/>
  <c r="E124" i="1"/>
  <c r="G124" i="1"/>
  <c r="H124" i="1"/>
  <c r="E125" i="1"/>
  <c r="G125" i="1"/>
  <c r="H125" i="1"/>
  <c r="E126" i="1"/>
  <c r="G126" i="1"/>
  <c r="H126" i="1"/>
  <c r="E127" i="1"/>
  <c r="G127" i="1"/>
  <c r="H127" i="1"/>
  <c r="E128" i="1"/>
  <c r="G128" i="1"/>
  <c r="H128" i="1"/>
  <c r="E129" i="1"/>
  <c r="G129" i="1"/>
  <c r="H129" i="1"/>
  <c r="E130" i="1"/>
  <c r="G130" i="1"/>
  <c r="H130" i="1"/>
  <c r="E131" i="1"/>
  <c r="G131" i="1"/>
  <c r="H131" i="1"/>
  <c r="E132" i="1"/>
  <c r="G132" i="1"/>
  <c r="H132" i="1"/>
  <c r="E133" i="1"/>
  <c r="G133" i="1"/>
  <c r="H133" i="1"/>
  <c r="E134" i="1"/>
  <c r="G134" i="1"/>
  <c r="H134" i="1"/>
  <c r="E135" i="1"/>
  <c r="G135" i="1"/>
  <c r="H135" i="1"/>
  <c r="E136" i="1"/>
  <c r="G136" i="1"/>
  <c r="H136" i="1"/>
  <c r="E137" i="1"/>
  <c r="G137" i="1"/>
  <c r="H137" i="1"/>
  <c r="E138" i="1"/>
  <c r="G138" i="1"/>
  <c r="H138" i="1"/>
  <c r="E139" i="1"/>
  <c r="G139" i="1"/>
  <c r="H139" i="1"/>
  <c r="E140" i="1"/>
  <c r="G140" i="1"/>
  <c r="H140" i="1"/>
  <c r="E141" i="1"/>
  <c r="G141" i="1"/>
  <c r="H141" i="1"/>
  <c r="E142" i="1"/>
  <c r="G142" i="1"/>
  <c r="H142" i="1"/>
  <c r="E143" i="1"/>
  <c r="G143" i="1"/>
  <c r="H143" i="1"/>
  <c r="E144" i="1"/>
  <c r="G144" i="1"/>
  <c r="H144" i="1"/>
  <c r="E145" i="1"/>
  <c r="G145" i="1"/>
  <c r="H145" i="1"/>
  <c r="E146" i="1"/>
  <c r="G146" i="1"/>
  <c r="H146" i="1"/>
  <c r="E147" i="1"/>
  <c r="G147" i="1"/>
  <c r="H147" i="1"/>
  <c r="E148" i="1"/>
  <c r="G148" i="1"/>
  <c r="H148" i="1"/>
  <c r="E149" i="1"/>
  <c r="G149" i="1"/>
  <c r="H149" i="1"/>
  <c r="E150" i="1"/>
  <c r="G150" i="1"/>
  <c r="H150" i="1"/>
  <c r="E151" i="1"/>
  <c r="G151" i="1"/>
  <c r="H151" i="1"/>
  <c r="E152" i="1"/>
  <c r="G152" i="1"/>
  <c r="H152" i="1"/>
  <c r="E153" i="1"/>
  <c r="G153" i="1"/>
  <c r="H153" i="1"/>
  <c r="E154" i="1"/>
  <c r="G154" i="1"/>
  <c r="H154" i="1"/>
  <c r="E155" i="1"/>
  <c r="G155" i="1"/>
  <c r="H155" i="1"/>
  <c r="E156" i="1"/>
  <c r="G156" i="1"/>
  <c r="H156" i="1"/>
  <c r="E157" i="1"/>
  <c r="G157" i="1"/>
  <c r="H157" i="1"/>
  <c r="E158" i="1"/>
  <c r="G158" i="1"/>
  <c r="H158" i="1"/>
  <c r="E159" i="1"/>
  <c r="G159" i="1"/>
  <c r="H159" i="1"/>
  <c r="E160" i="1"/>
  <c r="G160" i="1"/>
  <c r="H160" i="1"/>
  <c r="E161" i="1"/>
  <c r="G161" i="1"/>
  <c r="H161" i="1"/>
  <c r="E162" i="1"/>
  <c r="G162" i="1"/>
  <c r="H162" i="1"/>
  <c r="E163" i="1"/>
  <c r="G163" i="1"/>
  <c r="H163" i="1"/>
  <c r="E164" i="1"/>
  <c r="G164" i="1"/>
  <c r="H164" i="1"/>
  <c r="E165" i="1"/>
  <c r="G165" i="1"/>
  <c r="H165" i="1"/>
  <c r="E166" i="1"/>
  <c r="G166" i="1"/>
  <c r="H166" i="1"/>
  <c r="E167" i="1"/>
  <c r="G167" i="1"/>
  <c r="H167" i="1"/>
  <c r="E168" i="1"/>
  <c r="G168" i="1"/>
  <c r="H168" i="1"/>
  <c r="E169" i="1"/>
  <c r="G169" i="1"/>
  <c r="H169" i="1"/>
  <c r="E170" i="1"/>
  <c r="G170" i="1"/>
  <c r="H170" i="1"/>
  <c r="E171" i="1"/>
  <c r="G171" i="1"/>
  <c r="H171" i="1"/>
  <c r="E172" i="1"/>
  <c r="G172" i="1"/>
  <c r="H172" i="1"/>
  <c r="E173" i="1"/>
  <c r="G173" i="1"/>
  <c r="H173" i="1"/>
  <c r="E174" i="1"/>
  <c r="G174" i="1"/>
  <c r="H174" i="1"/>
  <c r="E175" i="1"/>
  <c r="G175" i="1"/>
  <c r="H175" i="1"/>
  <c r="E176" i="1"/>
  <c r="G176" i="1"/>
  <c r="H176" i="1"/>
  <c r="E177" i="1"/>
  <c r="G177" i="1"/>
  <c r="H177" i="1"/>
  <c r="E178" i="1"/>
  <c r="G178" i="1"/>
  <c r="H178" i="1"/>
  <c r="E179" i="1"/>
  <c r="G179" i="1"/>
  <c r="H179" i="1"/>
  <c r="E180" i="1"/>
  <c r="G180" i="1"/>
  <c r="H180" i="1"/>
  <c r="E181" i="1"/>
  <c r="G181" i="1"/>
  <c r="H181" i="1"/>
  <c r="E182" i="1"/>
  <c r="G182" i="1"/>
  <c r="H182" i="1"/>
  <c r="E183" i="1"/>
  <c r="G183" i="1"/>
  <c r="H183" i="1"/>
  <c r="E184" i="1"/>
  <c r="G184" i="1"/>
  <c r="H184" i="1"/>
  <c r="E185" i="1"/>
  <c r="G185" i="1"/>
  <c r="H185" i="1"/>
  <c r="E186" i="1"/>
  <c r="G186" i="1"/>
  <c r="H186" i="1"/>
  <c r="E187" i="1"/>
  <c r="G187" i="1"/>
  <c r="H187" i="1"/>
  <c r="E188" i="1"/>
  <c r="G188" i="1"/>
  <c r="H188" i="1"/>
  <c r="E189" i="1"/>
  <c r="G189" i="1"/>
  <c r="H189" i="1"/>
  <c r="E190" i="1"/>
  <c r="G190" i="1"/>
  <c r="H190" i="1"/>
  <c r="E191" i="1"/>
  <c r="G191" i="1"/>
  <c r="H191" i="1"/>
  <c r="E192" i="1"/>
  <c r="G192" i="1"/>
  <c r="H192" i="1"/>
  <c r="E193" i="1"/>
  <c r="G193" i="1"/>
  <c r="H193" i="1"/>
  <c r="E194" i="1"/>
  <c r="G194" i="1"/>
  <c r="H194" i="1"/>
  <c r="E195" i="1"/>
  <c r="G195" i="1"/>
  <c r="H195" i="1"/>
  <c r="E196" i="1"/>
  <c r="G196" i="1"/>
  <c r="H196" i="1"/>
  <c r="E197" i="1"/>
  <c r="G197" i="1"/>
  <c r="H197" i="1"/>
  <c r="E198" i="1"/>
  <c r="G198" i="1"/>
  <c r="H198" i="1"/>
  <c r="E199" i="1"/>
  <c r="G199" i="1"/>
  <c r="H199" i="1"/>
  <c r="E200" i="1"/>
  <c r="G200" i="1"/>
  <c r="H200" i="1"/>
  <c r="E201" i="1"/>
  <c r="G201" i="1"/>
  <c r="H201" i="1"/>
  <c r="E202" i="1"/>
  <c r="G202" i="1"/>
  <c r="H202" i="1"/>
  <c r="E203" i="1"/>
  <c r="G203" i="1"/>
  <c r="H203" i="1"/>
  <c r="E204" i="1"/>
  <c r="G204" i="1"/>
  <c r="H204" i="1"/>
  <c r="E205" i="1"/>
  <c r="G205" i="1"/>
  <c r="H205" i="1"/>
  <c r="E206" i="1"/>
  <c r="G206" i="1"/>
  <c r="H206" i="1"/>
  <c r="E207" i="1"/>
  <c r="G207" i="1"/>
  <c r="H207" i="1"/>
  <c r="E208" i="1"/>
  <c r="G208" i="1"/>
  <c r="H208" i="1"/>
  <c r="E209" i="1"/>
  <c r="G209" i="1"/>
  <c r="H209" i="1"/>
  <c r="E210" i="1"/>
  <c r="G210" i="1"/>
  <c r="H210" i="1"/>
  <c r="E211" i="1"/>
  <c r="G211" i="1"/>
  <c r="H211" i="1"/>
  <c r="E212" i="1"/>
  <c r="G212" i="1"/>
  <c r="H212" i="1"/>
  <c r="E213" i="1"/>
  <c r="G213" i="1"/>
  <c r="H213" i="1"/>
  <c r="E214" i="1"/>
  <c r="G214" i="1"/>
  <c r="H214" i="1"/>
  <c r="E215" i="1"/>
  <c r="G215" i="1"/>
  <c r="H215" i="1"/>
  <c r="E216" i="1"/>
  <c r="G216" i="1"/>
  <c r="H216" i="1"/>
  <c r="E217" i="1"/>
  <c r="G217" i="1"/>
  <c r="H217" i="1"/>
  <c r="E218" i="1"/>
  <c r="G218" i="1"/>
  <c r="H218" i="1"/>
  <c r="E219" i="1"/>
  <c r="G219" i="1"/>
  <c r="H219" i="1"/>
  <c r="E220" i="1"/>
  <c r="G220" i="1"/>
  <c r="H220" i="1"/>
  <c r="E221" i="1"/>
  <c r="G221" i="1"/>
  <c r="H221" i="1"/>
  <c r="E222" i="1"/>
  <c r="G222" i="1"/>
  <c r="H222" i="1"/>
  <c r="E223" i="1"/>
  <c r="G223" i="1"/>
  <c r="H223" i="1"/>
</calcChain>
</file>

<file path=xl/comments1.xml><?xml version="1.0" encoding="utf-8"?>
<comments xmlns="http://schemas.openxmlformats.org/spreadsheetml/2006/main">
  <authors>
    <author>Paul Shipley</author>
    <author>chris.hauxwell</author>
  </authors>
  <commentList>
    <comment ref="E4" authorId="0" shapeId="0">
      <text>
        <r>
          <rPr>
            <b/>
            <sz val="8"/>
            <color indexed="81"/>
            <rFont val="Tahoma"/>
            <family val="2"/>
          </rPr>
          <t>Paul Shipley:</t>
        </r>
        <r>
          <rPr>
            <sz val="8"/>
            <color indexed="81"/>
            <rFont val="Tahoma"/>
            <family val="2"/>
          </rPr>
          <t xml:space="preserve">
Fault ID - this is the value that is sent out in EMCY messages, and is read from the object dictionary when a fault is active.</t>
        </r>
      </text>
    </comment>
    <comment ref="G4" authorId="0" shapeId="0">
      <text>
        <r>
          <rPr>
            <b/>
            <sz val="8"/>
            <color indexed="81"/>
            <rFont val="Tahoma"/>
            <family val="2"/>
          </rPr>
          <t>Paul Shipley:</t>
        </r>
        <r>
          <rPr>
            <sz val="8"/>
            <color indexed="81"/>
            <rFont val="Tahoma"/>
            <family val="2"/>
          </rPr>
          <t xml:space="preserve">
Fault type, calculated from the level.</t>
        </r>
      </text>
    </comment>
    <comment ref="H4" authorId="0" shapeId="0">
      <text>
        <r>
          <rPr>
            <b/>
            <sz val="8"/>
            <color indexed="81"/>
            <rFont val="Tahoma"/>
            <family val="2"/>
          </rPr>
          <t>Paul Shipley:</t>
        </r>
        <r>
          <rPr>
            <sz val="8"/>
            <color indexed="81"/>
            <rFont val="Tahoma"/>
            <family val="2"/>
          </rPr>
          <t xml:space="preserve">
This is what appears on the Smartview display</t>
        </r>
      </text>
    </comment>
    <comment ref="I51" authorId="1" shapeId="0">
      <text>
        <r>
          <rPr>
            <b/>
            <sz val="9"/>
            <color indexed="81"/>
            <rFont val="Tahoma"/>
            <family val="2"/>
          </rPr>
          <t>Aichi SVX (Scissor Lift) 
only fault</t>
        </r>
      </text>
    </comment>
    <comment ref="I73" authorId="1" shapeId="0">
      <text>
        <r>
          <rPr>
            <b/>
            <sz val="9"/>
            <color indexed="81"/>
            <rFont val="Tahoma"/>
            <family val="2"/>
          </rPr>
          <t>Aichi SVX (Scissor Lift) 
only fault</t>
        </r>
      </text>
    </comment>
    <comment ref="I74" authorId="1" shapeId="0">
      <text>
        <r>
          <rPr>
            <b/>
            <sz val="9"/>
            <color indexed="81"/>
            <rFont val="Tahoma"/>
            <family val="2"/>
          </rPr>
          <t>Aichi SVX (Scissor Lift) 
only fault</t>
        </r>
      </text>
    </comment>
    <comment ref="I75" authorId="1" shapeId="0">
      <text>
        <r>
          <rPr>
            <b/>
            <sz val="9"/>
            <color indexed="81"/>
            <rFont val="Tahoma"/>
            <family val="2"/>
          </rPr>
          <t>Aichi SVX (Scissor Lift) 
only fault</t>
        </r>
      </text>
    </comment>
    <comment ref="I76" authorId="1" shapeId="0">
      <text>
        <r>
          <rPr>
            <b/>
            <sz val="9"/>
            <color indexed="81"/>
            <rFont val="Tahoma"/>
            <family val="2"/>
          </rPr>
          <t>Aichi SVX (Scissor Lift) 
only fault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77" authorId="1" shapeId="0">
      <text>
        <r>
          <rPr>
            <b/>
            <sz val="9"/>
            <color indexed="81"/>
            <rFont val="Tahoma"/>
            <family val="2"/>
          </rPr>
          <t>Aichi SVX (Scissor Lift) 
only fault</t>
        </r>
      </text>
    </comment>
    <comment ref="I78" authorId="1" shapeId="0">
      <text>
        <r>
          <rPr>
            <b/>
            <sz val="9"/>
            <color indexed="81"/>
            <rFont val="Tahoma"/>
            <family val="2"/>
          </rPr>
          <t>Aichi SVX (Scissor Lift) 
only fault</t>
        </r>
      </text>
    </comment>
    <comment ref="I87" authorId="1" shapeId="0">
      <text>
        <r>
          <rPr>
            <b/>
            <sz val="9"/>
            <color indexed="81"/>
            <rFont val="Tahoma"/>
            <family val="2"/>
          </rPr>
          <t>Aichi SVX (Scissor Lift) 
only fault</t>
        </r>
      </text>
    </comment>
    <comment ref="I88" authorId="1" shapeId="0">
      <text>
        <r>
          <rPr>
            <b/>
            <sz val="9"/>
            <color indexed="81"/>
            <rFont val="Tahoma"/>
            <family val="2"/>
          </rPr>
          <t>Aichi SVX (Scissor Lift) 
only fault</t>
        </r>
      </text>
    </comment>
    <comment ref="I89" authorId="1" shapeId="0">
      <text>
        <r>
          <rPr>
            <b/>
            <sz val="9"/>
            <color indexed="81"/>
            <rFont val="Tahoma"/>
            <family val="2"/>
          </rPr>
          <t>Aichi SVX (Scissor Lift) 
only fault</t>
        </r>
      </text>
    </comment>
    <comment ref="I90" authorId="1" shapeId="0">
      <text>
        <r>
          <rPr>
            <b/>
            <sz val="9"/>
            <color indexed="81"/>
            <rFont val="Tahoma"/>
            <family val="2"/>
          </rPr>
          <t>Aichi SVX (Scissor Lift) 
only fault</t>
        </r>
      </text>
    </comment>
  </commentList>
</comments>
</file>

<file path=xl/sharedStrings.xml><?xml version="1.0" encoding="utf-8"?>
<sst xmlns="http://schemas.openxmlformats.org/spreadsheetml/2006/main" count="620" uniqueCount="461">
  <si>
    <t>LED Flashes</t>
  </si>
  <si>
    <t>FID</t>
  </si>
  <si>
    <t>UID</t>
  </si>
  <si>
    <t>Display</t>
  </si>
  <si>
    <t>Level</t>
  </si>
  <si>
    <t>Message</t>
  </si>
  <si>
    <t>Type</t>
  </si>
  <si>
    <t>BDI Warning</t>
  </si>
  <si>
    <t>BDI Cutout</t>
  </si>
  <si>
    <t>Low Battery Cut</t>
  </si>
  <si>
    <t>High Battery Cut</t>
  </si>
  <si>
    <t>High Capacitor Cut</t>
  </si>
  <si>
    <t>Vbat below rated min</t>
  </si>
  <si>
    <t>Vbat above rated max</t>
  </si>
  <si>
    <t>Vcap above rated max</t>
  </si>
  <si>
    <t>Device too cold</t>
  </si>
  <si>
    <t>Device too hot</t>
  </si>
  <si>
    <t>Motor in thermal cutback</t>
  </si>
  <si>
    <t>CANopen anon EMCY level 1</t>
  </si>
  <si>
    <t>Vehicle Service Required</t>
  </si>
  <si>
    <t>Seat Fault</t>
  </si>
  <si>
    <t>Two Direction Fault</t>
  </si>
  <si>
    <t>SRO Fault</t>
  </si>
  <si>
    <t>Sequence Fault</t>
  </si>
  <si>
    <t>FS1 Recycle Fault</t>
  </si>
  <si>
    <t>Low Oil</t>
  </si>
  <si>
    <t>Throttle Fault</t>
  </si>
  <si>
    <t>CANopen anon EMCY level 2</t>
  </si>
  <si>
    <t>Too many slaves</t>
  </si>
  <si>
    <t>Unexpected slave state</t>
  </si>
  <si>
    <t>EMCY send failed</t>
  </si>
  <si>
    <t>Internal Fault</t>
  </si>
  <si>
    <t>Out of memory</t>
  </si>
  <si>
    <t>General DSP error</t>
  </si>
  <si>
    <t>Timer Failed</t>
  </si>
  <si>
    <t>Queue Error</t>
  </si>
  <si>
    <t>Scheduler Error</t>
  </si>
  <si>
    <t>DSP Heartbeat Error</t>
  </si>
  <si>
    <t>I/O SS Error</t>
  </si>
  <si>
    <t>GIO SS Error</t>
  </si>
  <si>
    <t>LCM SS Error</t>
  </si>
  <si>
    <t>LCP SS Error</t>
  </si>
  <si>
    <t>OBD SS Error</t>
  </si>
  <si>
    <t>VA SS Error</t>
  </si>
  <si>
    <t>DMC SS Error</t>
  </si>
  <si>
    <t>TracApp SS Error</t>
  </si>
  <si>
    <t>New Powerframe Detected</t>
  </si>
  <si>
    <t>DSP Not Detected</t>
  </si>
  <si>
    <t>DSP Comms Error</t>
  </si>
  <si>
    <t>App Manager SS Error</t>
  </si>
  <si>
    <t>CANopen anon EMCY level 3</t>
  </si>
  <si>
    <t>Bad NVM Data</t>
  </si>
  <si>
    <t>VPDO Out of Range</t>
  </si>
  <si>
    <t>Static Range Error</t>
  </si>
  <si>
    <t>Dynamic Range Error</t>
  </si>
  <si>
    <t>Invalid Steer Switches</t>
  </si>
  <si>
    <t>Line Contactor o/c</t>
  </si>
  <si>
    <t>Line Contactor welded</t>
  </si>
  <si>
    <t>Digital Input Wire Off</t>
  </si>
  <si>
    <t>Analogue Input Wire Off</t>
  </si>
  <si>
    <t>Analogue Output Over Current</t>
  </si>
  <si>
    <t>Analogue Output Off with Failsafe</t>
  </si>
  <si>
    <t>Analogue Output On with No Failsafe</t>
  </si>
  <si>
    <t>Power Supply Interrupt</t>
  </si>
  <si>
    <t>Capacitor Precharge Failure</t>
  </si>
  <si>
    <t>CANBUS Fault</t>
  </si>
  <si>
    <t>Bootup not received</t>
  </si>
  <si>
    <t>LPRX queue overrun</t>
  </si>
  <si>
    <t>LPTX queue overrun</t>
  </si>
  <si>
    <t>HPRX queue overrun</t>
  </si>
  <si>
    <t>HPTX queue overrun</t>
  </si>
  <si>
    <t>CAN overrun</t>
  </si>
  <si>
    <t>CAN off bus</t>
  </si>
  <si>
    <t>Nodeguarding Failed</t>
  </si>
  <si>
    <t>Short PDO received</t>
  </si>
  <si>
    <t>CANopen Heartbeat Failed</t>
  </si>
  <si>
    <t>CANopen slave in wrong state</t>
  </si>
  <si>
    <t>CAN ESTAT set</t>
  </si>
  <si>
    <t>SDO HDL Error</t>
  </si>
  <si>
    <t>SDO Timeout Error</t>
  </si>
  <si>
    <t>SDO State Error</t>
  </si>
  <si>
    <t>SDO Toggle Error</t>
  </si>
  <si>
    <t>SDO Rec Error</t>
  </si>
  <si>
    <t>SDO Len Error</t>
  </si>
  <si>
    <t>SDO Send Error</t>
  </si>
  <si>
    <t>SDO unknown event</t>
  </si>
  <si>
    <t>SDO Bad SRC</t>
  </si>
  <si>
    <t>SDO bad error number</t>
  </si>
  <si>
    <t>Motor slave in wrong state</t>
  </si>
  <si>
    <t>SDO Abort Error</t>
  </si>
  <si>
    <t>Invalid DSP Protocol</t>
  </si>
  <si>
    <t>OSC Watchdog Fault</t>
  </si>
  <si>
    <t>Fault List Overflow</t>
  </si>
  <si>
    <t>DSP SPI Comms Fault</t>
  </si>
  <si>
    <t>CANopen anon EMCY level 4</t>
  </si>
  <si>
    <t>MOSFET s/c M1&gt;B+</t>
  </si>
  <si>
    <t>MOSFET s/c M1&gt;B-</t>
  </si>
  <si>
    <t>MOSFET s/c M2&gt;B+</t>
  </si>
  <si>
    <t>MOSFET s/c M2&gt;B-</t>
  </si>
  <si>
    <t>MOSFET s/c M3&gt;B+</t>
  </si>
  <si>
    <t>MOSFET s/c M3&gt;B-</t>
  </si>
  <si>
    <t>MOSFET s/c checks incomplete</t>
  </si>
  <si>
    <t>Invalid Powerframe Rating</t>
  </si>
  <si>
    <t>CANopen anon EMCY level 5</t>
  </si>
  <si>
    <t>Autozero range error</t>
  </si>
  <si>
    <t>DSP parameter error</t>
  </si>
  <si>
    <t>Unit in preoperational</t>
  </si>
  <si>
    <t>Fan Fault</t>
  </si>
  <si>
    <t>IO can't init</t>
  </si>
  <si>
    <t>Incompatible hardware version</t>
  </si>
  <si>
    <t>Calibration Fault</t>
  </si>
  <si>
    <t>Analogue Output Under Current</t>
  </si>
  <si>
    <t>Inch Fault</t>
  </si>
  <si>
    <t>Overload Fault</t>
  </si>
  <si>
    <t>Raised and Tilted Fault</t>
  </si>
  <si>
    <t>Pothole Fault</t>
  </si>
  <si>
    <t>Traction Inhibit Fault</t>
  </si>
  <si>
    <t>Illegal Mode Change Fault</t>
  </si>
  <si>
    <t>Tilt Sensor Fault</t>
  </si>
  <si>
    <t>CAN off bus (drive inhibit)</t>
  </si>
  <si>
    <t>Auto-configuration Fault</t>
  </si>
  <si>
    <t>Belly fault</t>
  </si>
  <si>
    <t>Description</t>
  </si>
  <si>
    <t>Recommended Action</t>
  </si>
  <si>
    <t>No speed feedback from external heatsink fans</t>
  </si>
  <si>
    <t>Check operation of heatsink fans</t>
  </si>
  <si>
    <t>Charge battery</t>
  </si>
  <si>
    <t>BDI remaining charge (0x2790,1) is less than BDI Warning level (0x2C30,5)</t>
  </si>
  <si>
    <t>BDI remaining charge (0x2790,1) is less than BDI Cutout level (0x2C30,4)</t>
  </si>
  <si>
    <t>Battery voltage (0x5100,1) is less than Under Voltage limit (0x2C02,2) for longer than the protection delay (0x2C03,0)</t>
  </si>
  <si>
    <t>Battery voltage (0x5100,1) is greater than Over Voltage limit (0x2C01,2) for longer than the protection delay (0x2C03,0)</t>
  </si>
  <si>
    <t>Capacitor voltage (0x5100,3) is greater than Over Voltage limit (0x2C01,2) for longer than the protection delay (0x2C03,0)</t>
  </si>
  <si>
    <t>Battery voltage (0x5100,1) is greater than rated maximum voltage for controller for longer than 1s.</t>
  </si>
  <si>
    <t>Capacitor voltage (0x5100,3) is greater than rated maximum voltage for controller for longer than 1s.</t>
  </si>
  <si>
    <t>Battery voltage (0x5100,1) is less than rated minimum voltage for controller for longer than 1s.
NOTE: This fault is sometimes seen at power down.</t>
  </si>
  <si>
    <t>Low heatsink temperature (0x5100,4) has reduced power to motor</t>
  </si>
  <si>
    <t>Allow controller to warm up to normal operating temperature.</t>
  </si>
  <si>
    <t>High heatsink temperature (0x5100,4) has reduced power to motor</t>
  </si>
  <si>
    <t>Allow controller to cool down to normal operating temperature.</t>
  </si>
  <si>
    <t>High measured (0x4600,3) or estimated (0x4602,8) motor temperature has reduced power to motor</t>
  </si>
  <si>
    <t>Allow motor to cool down to normal operating temperature.</t>
  </si>
  <si>
    <t>If configured and ready for use, change state to operational.</t>
  </si>
  <si>
    <t>Controller is in pre-operational state</t>
  </si>
  <si>
    <t>Controller has not received all configured RPDOs at power up</t>
  </si>
  <si>
    <t>Check PDOs on all CANbus nodes are configured correctly and match up.</t>
  </si>
  <si>
    <t>EMCY message received from non-Sevcon node and anonymous EMCY level (0x2830,0) is set to 1.</t>
  </si>
  <si>
    <t>Check status of non-Sevcon nodes on CANbus</t>
  </si>
  <si>
    <t>EMCY message received from non-Sevcon node and anonymous EMCY level (0x2830,0) is set to 2.</t>
  </si>
  <si>
    <t>EMCY message received from non-Sevcon node and anonymous EMCY level (0x2830,0) is set to 3.</t>
  </si>
  <si>
    <t>EMCY message received from non-Sevcon node and anonymous EMCY level (0x2830,0) is set to 4.</t>
  </si>
  <si>
    <t>EMCY message received from non-Sevcon node and anonymous EMCY level (0x2830,0) is set to 5.</t>
  </si>
  <si>
    <t>Vehicle service next due time (0x2850,5) has expired. If supported Service driveability profile (0x2925) will activate.</t>
  </si>
  <si>
    <t>Service vehicle and reset service hours counter</t>
  </si>
  <si>
    <t>Valid direction selected with operator not seated or operator is not seated for a user configurable time in drive.</t>
  </si>
  <si>
    <t>Must be seated with switches inactive</t>
  </si>
  <si>
    <t>Both the forward and reverse switches have been active simultaneously for greater than 200 ms.</t>
  </si>
  <si>
    <t>Check vehicle wiring and reset switches</t>
  </si>
  <si>
    <t>FS1 active for user configurable delay (0x2914,2) without a direction selected.</t>
  </si>
  <si>
    <t>Deselect FS1</t>
  </si>
  <si>
    <t>Any drive switch active at power up.</t>
  </si>
  <si>
    <t>Deselect all drive switches</t>
  </si>
  <si>
    <t>FS1 active after a direction change and FS1 recycle function enabled (0x2914,1 bit 1)</t>
  </si>
  <si>
    <t>Inch switch active along with any drive switch active (excluding inch switches), seat switch indicating operator present or handbrake switch active.</t>
  </si>
  <si>
    <t>Vehicle overloaded</t>
  </si>
  <si>
    <t>Remove overload condition</t>
  </si>
  <si>
    <t>Scissor lift platform raised and tilted</t>
  </si>
  <si>
    <t>Lower platform</t>
  </si>
  <si>
    <t>Scissor lift pothole protection active</t>
  </si>
  <si>
    <t>Move vehicle out of pot hole.</t>
  </si>
  <si>
    <t>Traction function inhibited using traction inhibit switch (0x2137)</t>
  </si>
  <si>
    <t>Deselect traction inhibit.</t>
  </si>
  <si>
    <t>Vehicle changed from traction mode to pump mode (or vice versa) when direction selected</t>
  </si>
  <si>
    <t>Aichi error code (0x3802,0) set to 0x02</t>
  </si>
  <si>
    <t>Check tilt sensor</t>
  </si>
  <si>
    <t>Belly function has activated.</t>
  </si>
  <si>
    <t>Deselect belly switch</t>
  </si>
  <si>
    <t>Not used</t>
  </si>
  <si>
    <t>Throttle value (0x2620,0) is greater than 20% at power up.</t>
  </si>
  <si>
    <t>Release throttle</t>
  </si>
  <si>
    <t>Check for temperature or voltage cutback condition and take appropriate action</t>
  </si>
  <si>
    <t>Check status of all nodes on CANbus. Check PDOs on all CANbus nodes are configured correctly and match up.</t>
  </si>
  <si>
    <t>CANbus off fault condition detected on multinode system. 
NOTE: This fault was added for Aichi, to replace Very Severe CAN off fault</t>
  </si>
  <si>
    <t>Check CANbus wiring</t>
  </si>
  <si>
    <t>Number of slaves (0x2810,0) set higher than maximum allowed number of slaves</t>
  </si>
  <si>
    <t>Check 0x2810,0 setting</t>
  </si>
  <si>
    <t>CANopen slave has changed to unexpected state</t>
  </si>
  <si>
    <t xml:space="preserve">Check status of all nodes on CANbus. </t>
  </si>
  <si>
    <t>Unable to transmit EMCY message</t>
  </si>
  <si>
    <t>Internal software fault</t>
  </si>
  <si>
    <t>Unknown error raised by motor model code</t>
  </si>
  <si>
    <t>Unable to allocate timer</t>
  </si>
  <si>
    <t>Unable to post message to queue</t>
  </si>
  <si>
    <t>Unable to create task in scheduler</t>
  </si>
  <si>
    <t>Communication lost between host and DSP processors</t>
  </si>
  <si>
    <t>Internal hardware fault</t>
  </si>
  <si>
    <t>New power frame detected.</t>
  </si>
  <si>
    <t>Recycle keyswitch</t>
  </si>
  <si>
    <t>Current sensor auto-zero current out of range</t>
  </si>
  <si>
    <t>Communication error between host and DSP processors</t>
  </si>
  <si>
    <t>EEPROM or flash configuration data corrupted and data can not be recovered.</t>
  </si>
  <si>
    <t>VPDO mapped to non-existent or invalid object</t>
  </si>
  <si>
    <t>Check all VPDO mappings (0x3000 to 0x3400)</t>
  </si>
  <si>
    <t>At least one configuration object is out of range</t>
  </si>
  <si>
    <t>Set configuration object to valid value. Our of range object can be identified using 0x5621 or Engineering DVT CLI window.</t>
  </si>
  <si>
    <t>At least one configuration object is out of dynamic range. This is where one objects range depends on another object.</t>
  </si>
  <si>
    <t>Check all dynamic range objects. Engineering DVT CLI window indicates type of object which is out of range.</t>
  </si>
  <si>
    <t>Unable to automatically configure I/O and vehicle setup.</t>
  </si>
  <si>
    <t>Check auto configuration objects (0x5810 and 0x5811)</t>
  </si>
  <si>
    <t>Steering switches are in an invalid state</t>
  </si>
  <si>
    <t>Check steering switches and wiring</t>
  </si>
  <si>
    <t>Line contactor did not close when coil is energized.</t>
  </si>
  <si>
    <t>Check line contactor and wiring</t>
  </si>
  <si>
    <t>Line contactor closed when coil is denergized.</t>
  </si>
  <si>
    <t>Digital input wire-off</t>
  </si>
  <si>
    <t>Check wiring</t>
  </si>
  <si>
    <t>Analogue input outside of allowed range (0x46cX)</t>
  </si>
  <si>
    <t>Contactor driver over current</t>
  </si>
  <si>
    <t>Ensure contactor doesn't exceed maximum current and check contactor wiring</t>
  </si>
  <si>
    <t>Internal hardware failsafe circuitry not working</t>
  </si>
  <si>
    <t>Contactor driver not working</t>
  </si>
  <si>
    <t>Contactor driver unable to achieve current target in current mode</t>
  </si>
  <si>
    <t>Ensure contactor driver current target is within range</t>
  </si>
  <si>
    <t>Capacitor voltage (0x5100,3) did not rise above 5V at power up</t>
  </si>
  <si>
    <t>Check power wiring</t>
  </si>
  <si>
    <t>Encoder input wire-off is detected.</t>
  </si>
  <si>
    <t>Check encoder wiring</t>
  </si>
  <si>
    <t>Motor current exceeded controller rated maximum</t>
  </si>
  <si>
    <t>Check motor configuration and wiring</t>
  </si>
  <si>
    <t xml:space="preserve">CANbus fault condition detected on multinode system. </t>
  </si>
  <si>
    <t>CANopen slave has not transmitted boot up message at power up</t>
  </si>
  <si>
    <t>Received RPDO doesn't contains enough bytes</t>
  </si>
  <si>
    <t>Heartbeat not received within configured time out (0x1016)</t>
  </si>
  <si>
    <t xml:space="preserve">Internal CANbus fault </t>
  </si>
  <si>
    <t>Check status of all nodes on CANbus controlling motor slaves. Check local motor slaves on master. Ensure configuration is correct.</t>
  </si>
  <si>
    <t>DSP reports invalid protocol version on dual processor platform</t>
  </si>
  <si>
    <t>Attempting to set too many faults.</t>
  </si>
  <si>
    <t>Detected controller hardware version incompatible with software</t>
  </si>
  <si>
    <t>Check correct software is programmed into controller. Reprogram if necessary</t>
  </si>
  <si>
    <t>Calibration settings in controller are out of range</t>
  </si>
  <si>
    <t>Controller requires recalibration in production</t>
  </si>
  <si>
    <t>Voltage on B+ terminal exceeds rated maximum for controller</t>
  </si>
  <si>
    <t>Check battery condition and wiring</t>
  </si>
  <si>
    <t>Check motor wiring. Check controller condition</t>
  </si>
  <si>
    <t>Unable to identify hardware</t>
  </si>
  <si>
    <t>Motor Isolation Fault</t>
  </si>
  <si>
    <t>Motor isolation contactor is open circuit</t>
  </si>
  <si>
    <t>Motor Open Circuit Fault</t>
  </si>
  <si>
    <t>Motor terminal is open circuit or disconnected from controller</t>
  </si>
  <si>
    <t>Check isolation contactor and wiring</t>
  </si>
  <si>
    <t>0x4604</t>
  </si>
  <si>
    <t>F18004</t>
  </si>
  <si>
    <t>Motor too cold</t>
  </si>
  <si>
    <t>Low Measured temperature has reached -30deg</t>
  </si>
  <si>
    <t>Check motor thermistor connection or allow motor to warm up.</t>
  </si>
  <si>
    <t>Pump Mosfet S/C</t>
  </si>
  <si>
    <t>Entering Cutback</t>
  </si>
  <si>
    <t>Controller has entered thermal or voltage cutback region</t>
  </si>
  <si>
    <t>Cutback</t>
  </si>
  <si>
    <t>Thermal or voltage cutback factors have reduced belowed user defined levels.</t>
  </si>
  <si>
    <t>Analogue Output Over Temperature</t>
  </si>
  <si>
    <t>Contactor driver over temperature</t>
  </si>
  <si>
    <t>Analogue Output Short Circuit</t>
  </si>
  <si>
    <t>Contactor driver MOSFET short circuit detected</t>
  </si>
  <si>
    <t>RPDO Timeout (severe)</t>
  </si>
  <si>
    <t>One or more configured RPDOs not received with 3s at start up or 500ms during normal operation.</t>
  </si>
  <si>
    <t>RPDO Timeout (drive inhibit)</t>
  </si>
  <si>
    <t>RPDO Timeout (warning)</t>
  </si>
  <si>
    <t>Heatsink overtemp</t>
  </si>
  <si>
    <t>Controller heat sink has reached critical high temperature, and has shut down.</t>
  </si>
  <si>
    <t>Check motor configuration. Ensure motor speed is not too high.</t>
  </si>
  <si>
    <t>Power Supply Critical</t>
  </si>
  <si>
    <t>Battery voltage has dropped below critical level</t>
  </si>
  <si>
    <t>Check controller voltage supply</t>
  </si>
  <si>
    <t>Beltloader Fault</t>
  </si>
  <si>
    <t>Unable to change between traction and pump motors on beltloader.</t>
  </si>
  <si>
    <t xml:space="preserve">Check change over contactors and motor wiring. </t>
  </si>
  <si>
    <t>Motor Overspeed Fault</t>
  </si>
  <si>
    <t>Motor control tripped due to motor overspeed</t>
  </si>
  <si>
    <t>Ren Protocol</t>
  </si>
  <si>
    <t>Check connection to CANbus, ensure all devices on bus are communicating.</t>
  </si>
  <si>
    <t>Ren Signal</t>
  </si>
  <si>
    <t>Mom dir fault</t>
  </si>
  <si>
    <t>Fault with momentary direction selection switch</t>
  </si>
  <si>
    <t>Release momentary direction switch</t>
  </si>
  <si>
    <t>Gen4, Nano, Evo5, GpAC and espAC Fault Codes</t>
  </si>
  <si>
    <t>VERLOG</t>
  </si>
  <si>
    <t>VERLOG signal failure</t>
  </si>
  <si>
    <t>CAN warning</t>
  </si>
  <si>
    <t>Check status of nodes on CANbus expected to be transmitting data</t>
  </si>
  <si>
    <t>Ren Data</t>
  </si>
  <si>
    <t>Throttle Fault (Warn)</t>
  </si>
  <si>
    <t>Check throttle wiring and installation.</t>
  </si>
  <si>
    <t>Safety Case 1</t>
  </si>
  <si>
    <t>Throttle appears to be stuck. This fault will clear if throttle starts to work again.</t>
  </si>
  <si>
    <t>Safety Case 2</t>
  </si>
  <si>
    <t>Throttle appears to be stuck. This fault will latch and can only be cleared by repairing the throttle and recycling power.</t>
  </si>
  <si>
    <t>Handbrake Fault</t>
  </si>
  <si>
    <t>Handbrake is active when direction selected.</t>
  </si>
  <si>
    <t>Release handbrake</t>
  </si>
  <si>
    <t>Motor in low voltage cutback</t>
  </si>
  <si>
    <t>Motor in high voltage cutback</t>
  </si>
  <si>
    <t>Encoder Alignment Warning</t>
  </si>
  <si>
    <t>Encoder is not aligned properly.</t>
  </si>
  <si>
    <t>Ensure encoder offset is correctly set or re-align encoder</t>
  </si>
  <si>
    <t>PST Fault</t>
  </si>
  <si>
    <t>An issue has occurred with the PST unit</t>
  </si>
  <si>
    <t>Check PST unit</t>
  </si>
  <si>
    <t>Motor in wrong direction</t>
  </si>
  <si>
    <t xml:space="preserve">Check motor wiring. </t>
  </si>
  <si>
    <t>Motor stalled</t>
  </si>
  <si>
    <t>Motor rotation detected as wrong direction. No longer supported</t>
  </si>
  <si>
    <t>Motor rotation stalled. No longer supported</t>
  </si>
  <si>
    <t>Encoder Alignment Severe</t>
  </si>
  <si>
    <t>Hydraulic filter</t>
  </si>
  <si>
    <t>Pump Current Low</t>
  </si>
  <si>
    <t>Isolation Fault</t>
  </si>
  <si>
    <t>No Motor Speed Signal</t>
  </si>
  <si>
    <t>Tow Mode</t>
  </si>
  <si>
    <t>Steer Sensor Warning</t>
  </si>
  <si>
    <t>24V Supply Low</t>
  </si>
  <si>
    <t>24V Supply High</t>
  </si>
  <si>
    <t>Circuit Breaker Open</t>
  </si>
  <si>
    <t>Circuit Breaker Welded</t>
  </si>
  <si>
    <t>IGBT M1 Low Driver Fail</t>
  </si>
  <si>
    <t>IGBT M1 High Driver Fail</t>
  </si>
  <si>
    <t>IGBT M2 Low Driver Fail</t>
  </si>
  <si>
    <t>IGBT M2 High Driver Fail</t>
  </si>
  <si>
    <t>IGBT M3 Low Driver Fail</t>
  </si>
  <si>
    <t>IGBT M3 High Driver Fail</t>
  </si>
  <si>
    <t>Pump motor is not drawing sufficient current</t>
  </si>
  <si>
    <t>Isolation fault detected between logic and power frame</t>
  </si>
  <si>
    <t>No speed feedback from motor</t>
  </si>
  <si>
    <t>Tow mode has been activated</t>
  </si>
  <si>
    <t>Invalid steer sensor state</t>
  </si>
  <si>
    <t>Check oil level</t>
  </si>
  <si>
    <t>Check hydraulic filter</t>
  </si>
  <si>
    <t>Hydraulic Filter</t>
  </si>
  <si>
    <t>Disable tow mode if not required</t>
  </si>
  <si>
    <t>Check steer sensor wiring</t>
  </si>
  <si>
    <t>Check encoder wiring and speed measurement signal</t>
  </si>
  <si>
    <t>Check isolation between low and high voltage circuits</t>
  </si>
  <si>
    <t>Check pump motor is connected</t>
  </si>
  <si>
    <t>IGBT driver failure</t>
  </si>
  <si>
    <t>Check status of IGBT</t>
  </si>
  <si>
    <t>Voltage autoconfig error</t>
  </si>
  <si>
    <t>Unable to set battery voltage</t>
  </si>
  <si>
    <t>Check auxillary drives support low voltage configurations</t>
  </si>
  <si>
    <t>Analogue Output Over Current (warn)</t>
  </si>
  <si>
    <t>Analogue Output Off with Failsafe (warn)</t>
  </si>
  <si>
    <t>Analogue Output Over Temperature (warn)</t>
  </si>
  <si>
    <t>Analogue Output Under Current (warn)</t>
  </si>
  <si>
    <t>Analogue Output Short Circuit (warn)</t>
  </si>
  <si>
    <t>DC Link Collapsed</t>
  </si>
  <si>
    <t>Circuit Breaker Timeout</t>
  </si>
  <si>
    <t>Time to close breaker of GpAC has expired</t>
  </si>
  <si>
    <t>Cycle power and restart breaker close sequence</t>
  </si>
  <si>
    <t>Motor Overspeed</t>
  </si>
  <si>
    <t>Pulsed Enable</t>
  </si>
  <si>
    <t>Pulsed enable signal not present, unable to enable bridge</t>
  </si>
  <si>
    <t>Check 1kHz pulsed enable signal is received</t>
  </si>
  <si>
    <t>SinCos Tracking Warning</t>
  </si>
  <si>
    <t>SinCos Encoder Min Max Values are heading towards a voltage rail or converging together.</t>
  </si>
  <si>
    <t>Thermal or mechanical variation is causing the sincos encoder to deviate from the cold factory commissioned values.</t>
  </si>
  <si>
    <t xml:space="preserve">Scheduler stack overflow warning </t>
  </si>
  <si>
    <t>This warning is set if any task has between 10%  and 20% of its stack free.</t>
  </si>
  <si>
    <t>Scheduler stack overflow fault</t>
  </si>
  <si>
    <t>Less than 10% of the stack is free on one of the RTOS tasks.</t>
  </si>
  <si>
    <t>Cant Establish Fld Curr</t>
  </si>
  <si>
    <t>Check field is wired to correct terminals</t>
  </si>
  <si>
    <t>Controller is unable to control a current in the field winding</t>
  </si>
  <si>
    <t>Pulsing Disabled</t>
  </si>
  <si>
    <t>The motor control protection subsystem unexpectedly disabled the PWM</t>
  </si>
  <si>
    <t>Check for presence of other faults that may indicate root cause of problem.</t>
  </si>
  <si>
    <t>Analogue supply (warn)</t>
  </si>
  <si>
    <t>Analogue supply is &gt;10% out of range</t>
  </si>
  <si>
    <t>remove short, check output voltage.</t>
  </si>
  <si>
    <t>Bridge Enable Delayed</t>
  </si>
  <si>
    <t>Unable to complete power on checks to allow the bridge to enable</t>
  </si>
  <si>
    <t>Check motor connected or wait for motor to slow down</t>
  </si>
  <si>
    <t>Check motor wiring - especially for motor terminals shorted to B-. Check controller condition.</t>
  </si>
  <si>
    <t>di/dt fault (suspected s/c)</t>
  </si>
  <si>
    <t>Large rate of change of current detected multiple times. Suspected MOSFET, motor or wiring short circuit.</t>
  </si>
  <si>
    <t>Fault Ride Through</t>
  </si>
  <si>
    <t>A fault ride through event has been encountered, but operation is allowed to continue although the system may be derated</t>
  </si>
  <si>
    <t>none</t>
  </si>
  <si>
    <t>Electrolyte Low Level</t>
  </si>
  <si>
    <t>Battery Electrolyte Low Level  detected</t>
  </si>
  <si>
    <t>Check batteries Electrolyte Level</t>
  </si>
  <si>
    <t>Electrolyte Cutout Level</t>
  </si>
  <si>
    <t>Battery Electrolyte Low Level  detected and cutbcak</t>
  </si>
  <si>
    <t>E-Brake Wire off</t>
  </si>
  <si>
    <t>Wire-off detected in electrobrake circuit</t>
  </si>
  <si>
    <t>Check electrobrake wiring, ensure current flows when energised</t>
  </si>
  <si>
    <t>Seat (warning)</t>
  </si>
  <si>
    <t>seat regen settings applied</t>
  </si>
  <si>
    <t>Close the seat switch and recycle the direction to remove seat regen settings.</t>
  </si>
  <si>
    <t>Direction Change</t>
  </si>
  <si>
    <t>Direction is changed and vehicle speed is greated than allowed in 0x2929,2</t>
  </si>
  <si>
    <t>Neutral switch should be selected to clear the fault</t>
  </si>
  <si>
    <t>Motor control (DC link) has entered low voltage cutback region.</t>
  </si>
  <si>
    <t>Motor control (DC link) has entered high voltage cutback region.</t>
  </si>
  <si>
    <t>Motor Pull-Out Warning</t>
  </si>
  <si>
    <t>MOSFET / IGBT s/c detection on M1 top devices</t>
  </si>
  <si>
    <t>MOSFET / IGBT s/c detection on M1 bottom devices</t>
  </si>
  <si>
    <t>MOSFET / IGBT s/c detection on M2 top devices</t>
  </si>
  <si>
    <t>MOSFET / IGBT s/c detection on M2 bottom devices</t>
  </si>
  <si>
    <t>MOSFET / IGBT s/c detection on M3 top devices</t>
  </si>
  <si>
    <t>MOSFET / IGBT s/c detection on M3 bottom devices</t>
  </si>
  <si>
    <t>Unable to complete MOSFET / IGBT s/c tests at power up</t>
  </si>
  <si>
    <t>MOSFET / IGBT s/c detection Pump Mosfet Devices</t>
  </si>
  <si>
    <t>MOSFET / IGBT s/c tests at power up are being held off</t>
  </si>
  <si>
    <t>MOSFET s/c tests waiting</t>
  </si>
  <si>
    <t>IO Data Error</t>
  </si>
  <si>
    <t>Vehicle application subsystem is not receiving control or status information.</t>
  </si>
  <si>
    <t>Check CANbus wiring and configuration of J1939 signal mappings.</t>
  </si>
  <si>
    <t>Measured capacitor voltage has exceeded controller maximum.</t>
  </si>
  <si>
    <t>Vcap Overvotlage (software overvoltage)</t>
  </si>
  <si>
    <t>Communication lost between host and DSP processors (or IOP and MCP)</t>
  </si>
  <si>
    <t>Communication error between host and DSP processors (or gate drive and MCP)</t>
  </si>
  <si>
    <t>KL15/30 Too Low</t>
  </si>
  <si>
    <t>The voltage applied to the KL15/30 is below the controller rated minimum</t>
  </si>
  <si>
    <t>Check KL15/30 supply voltage</t>
  </si>
  <si>
    <t>KL15/30 Too High</t>
  </si>
  <si>
    <t>The voltage applied to the KL15/30 is above the controller rated maximum</t>
  </si>
  <si>
    <t>Internal supply out of range warning</t>
  </si>
  <si>
    <t>An internal logic supply rail has gone out of range</t>
  </si>
  <si>
    <t>Internal supply out of range fault</t>
  </si>
  <si>
    <t>Stator Resistance Error</t>
  </si>
  <si>
    <t>Check the value of Rs configured in the controller is correct for the motor</t>
  </si>
  <si>
    <t>Stator resistance thermal compensation has failed due to the estimated value being too different from the configured value</t>
  </si>
  <si>
    <t>Encoder PLL has turned off due to poor tracking</t>
  </si>
  <si>
    <t>Motor controller unable to maintain control of motor currents</t>
  </si>
  <si>
    <t>Current Control Fault</t>
  </si>
  <si>
    <t>Motor Overcurrent Fault</t>
  </si>
  <si>
    <t>Encoder Fault</t>
  </si>
  <si>
    <t>PFOvervoltage</t>
  </si>
  <si>
    <t>Powerframe Fault</t>
  </si>
  <si>
    <t>Encoder PLL Deactivated Warning</t>
  </si>
  <si>
    <t>Check PLL gains and encoder setup and wiring</t>
  </si>
  <si>
    <t>Vcap is NOT &gt; 7/8 Vkey</t>
  </si>
  <si>
    <t>Mains Under Voltage</t>
  </si>
  <si>
    <t>Vcap Vkey Diff</t>
  </si>
  <si>
    <t>The open loop V/f induction motor software has detected a pulled-out condition (applied frequency much larger than actual), it will automatically attempt to restart.</t>
  </si>
  <si>
    <t>Reduce load torque transients and demanded acceleration rates. Check motor parameters (V/f ratio and current limit/allowed torque may be too low) and control gains</t>
  </si>
  <si>
    <t>HVIL loop broken</t>
  </si>
  <si>
    <t>On a product with an High Voltage InterLock feature where the feature is enabled, the loop has been detected as broken.</t>
  </si>
  <si>
    <t>Check product wiring, cycle KL15/power when fault corrected.</t>
  </si>
  <si>
    <t>Sensorless has failed to start up.</t>
  </si>
  <si>
    <t>Device test waiting</t>
  </si>
  <si>
    <t>Mains Over Voltage</t>
  </si>
  <si>
    <t>Check Mains Supply</t>
  </si>
  <si>
    <t>Sensorless Startup</t>
  </si>
  <si>
    <t>Boost over voltage</t>
  </si>
  <si>
    <t>Boost stage is above maximum operating voltage</t>
  </si>
  <si>
    <t>Warning level throttle fault. Used for RTy</t>
  </si>
  <si>
    <t>CAN device on RTy not responding</t>
  </si>
  <si>
    <t>Vehicle is operating in reduced power mode as some CAN messages are not being received (RTy only)</t>
  </si>
  <si>
    <t>Data missing from CAN (RTy only)</t>
  </si>
  <si>
    <t>Fault signalled by RTy vehicle network</t>
  </si>
  <si>
    <t>Check peripheral RTy devices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</si>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</sst>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name val="Arial"/>
    </font>
    <font>
      <sz val="16"/>
      <color indexed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  <fill>
      <patternFill patternType="solid">
        <fgColor indexed="8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2" xfId="0" applyFill="1" applyBorder="1"/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3" borderId="0" xfId="0" applyFont="1" applyFill="1" applyAlignment="1"/>
    <xf numFmtId="0" fontId="1" fillId="3" borderId="0" xfId="0" applyFont="1" applyFill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19050</xdr:rowOff>
    </xdr:from>
    <xdr:to>
      <xdr:col>1</xdr:col>
      <xdr:colOff>542925</xdr:colOff>
      <xdr:row>0</xdr:row>
      <xdr:rowOff>238125</xdr:rowOff>
    </xdr:to>
    <xdr:grpSp>
      <xdr:nvGrpSpPr>
        <xdr:cNvPr id="1407" name="Group 3">
          <a:extLst>
            <a:ext uri="{FF2B5EF4-FFF2-40B4-BE49-F238E27FC236}">
              <a16:creationId xmlns:a16="http://schemas.microsoft.com/office/drawing/2014/main" id="{00000000-0008-0000-0000-00007F050000}"/>
            </a:ext>
          </a:extLst>
        </xdr:cNvPr>
        <xdr:cNvGrpSpPr>
          <a:grpSpLocks/>
        </xdr:cNvGrpSpPr>
      </xdr:nvGrpSpPr>
      <xdr:grpSpPr bwMode="auto">
        <a:xfrm>
          <a:off x="57150" y="19050"/>
          <a:ext cx="895350" cy="219075"/>
          <a:chOff x="5" y="48"/>
          <a:chExt cx="120" cy="30"/>
        </a:xfrm>
      </xdr:grpSpPr>
      <xdr:sp macro="" textlink="">
        <xdr:nvSpPr>
          <xdr:cNvPr id="1408" name="Rectangle 2">
            <a:extLst>
              <a:ext uri="{FF2B5EF4-FFF2-40B4-BE49-F238E27FC236}">
                <a16:creationId xmlns:a16="http://schemas.microsoft.com/office/drawing/2014/main" id="{00000000-0008-0000-0000-000080050000}"/>
              </a:ext>
            </a:extLst>
          </xdr:cNvPr>
          <xdr:cNvSpPr>
            <a:spLocks noChangeArrowheads="1"/>
          </xdr:cNvSpPr>
        </xdr:nvSpPr>
        <xdr:spPr bwMode="auto">
          <a:xfrm>
            <a:off x="9" y="53"/>
            <a:ext cx="113" cy="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pic>
        <xdr:nvPicPr>
          <xdr:cNvPr id="1409" name="Picture 1" descr="Sevcon logo">
            <a:extLst>
              <a:ext uri="{FF2B5EF4-FFF2-40B4-BE49-F238E27FC236}">
                <a16:creationId xmlns:a16="http://schemas.microsoft.com/office/drawing/2014/main" id="{00000000-0008-0000-0000-00008105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 t="20721"/>
          <a:stretch>
            <a:fillRect/>
          </a:stretch>
        </xdr:blipFill>
        <xdr:spPr bwMode="auto">
          <a:xfrm>
            <a:off x="5" y="48"/>
            <a:ext cx="120" cy="3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B1:K223"/>
  <sheetViews>
    <sheetView showGridLines="0" tabSelected="1" workbookViewId="0">
      <pane ySplit="4" topLeftCell="A5" activePane="bottomLeft" state="frozen"/>
      <selection pane="bottomLeft" activeCell="F5" sqref="F5"/>
    </sheetView>
  </sheetViews>
  <sheetFormatPr baseColWidth="10" defaultColWidth="9.140625" defaultRowHeight="12.75" x14ac:dyDescent="0.2"/>
  <cols>
    <col min="1" max="1" width="6.140625" customWidth="1"/>
    <col min="2" max="2" width="8.85546875" style="3" customWidth="1"/>
    <col min="3" max="3" width="11.140625" style="3" customWidth="1"/>
    <col min="4" max="4" width="11.7109375" style="3" customWidth="1"/>
    <col min="5" max="6" width="8.85546875" style="3" customWidth="1"/>
    <col min="7" max="7" width="11.85546875" style="3" customWidth="1"/>
    <col min="8" max="8" width="9.5703125" style="3" customWidth="1"/>
    <col min="9" max="9" width="29.5703125" style="3" customWidth="1"/>
    <col min="10" max="11" width="44.7109375" style="10" customWidth="1"/>
  </cols>
  <sheetData>
    <row r="1" spans="2:11" s="4" customFormat="1" ht="20.25" x14ac:dyDescent="0.3">
      <c r="B1" s="5"/>
      <c r="C1" s="5" t="s">
        <v>284</v>
      </c>
      <c r="D1" s="5"/>
      <c r="E1" s="5"/>
      <c r="F1" s="5"/>
      <c r="G1" s="5"/>
      <c r="H1" s="5"/>
      <c r="I1" s="5"/>
      <c r="J1" s="8"/>
      <c r="K1" s="8"/>
    </row>
    <row r="2" spans="2:11" s="1" customFormat="1" ht="1.1499999999999999" customHeight="1" x14ac:dyDescent="0.2">
      <c r="B2" s="2"/>
      <c r="C2" s="2"/>
      <c r="D2" s="2"/>
      <c r="E2" s="2"/>
      <c r="F2" s="2"/>
      <c r="G2" s="2"/>
      <c r="H2" s="2"/>
      <c r="I2" s="2"/>
      <c r="J2" s="9"/>
      <c r="K2" s="9"/>
    </row>
    <row r="4" spans="2:11" x14ac:dyDescent="0.2">
      <c r="B4" s="6" t="s">
        <v>4</v>
      </c>
      <c r="C4" s="6" t="s">
        <v>0</v>
      </c>
      <c r="D4" s="6" t="s">
        <v>2</v>
      </c>
      <c r="E4" s="6" t="s">
        <v>1</v>
      </c>
      <c r="F4" s="6" t="s">
        <v>460</v>
      </c>
      <c r="G4" s="6" t="s">
        <v>6</v>
      </c>
      <c r="H4" s="6" t="s">
        <v>3</v>
      </c>
      <c r="I4" s="6" t="s">
        <v>5</v>
      </c>
      <c r="J4" s="11" t="s">
        <v>122</v>
      </c>
      <c r="K4" s="11" t="s">
        <v>123</v>
      </c>
    </row>
    <row r="5" spans="2:11" ht="1.1499999999999999" customHeight="1" x14ac:dyDescent="0.2">
      <c r="B5" s="7"/>
      <c r="C5" s="7"/>
      <c r="D5" s="7"/>
      <c r="E5" s="7"/>
      <c r="F5" s="7"/>
      <c r="G5" s="7"/>
      <c r="H5" s="7"/>
      <c r="I5" s="7"/>
      <c r="J5" s="12"/>
      <c r="K5" s="12"/>
    </row>
    <row r="6" spans="2:11" x14ac:dyDescent="0.2">
      <c r="B6" s="7">
        <v>1</v>
      </c>
      <c r="C6" s="7">
        <v>2</v>
      </c>
      <c r="D6" s="7">
        <v>1</v>
      </c>
      <c r="E6" s="7" t="str">
        <f>IF(B6="","",CONCATENATE("0x",DEC2HEX(16384+(B6*1024)+(C6*64)+D6)))</f>
        <v>0x4481</v>
      </c>
      <c r="F6" s="7">
        <f>HEX2DEC(RIGHT(E6,4))</f>
        <v>17537</v>
      </c>
      <c r="G6" s="7" t="str">
        <f>IF(B6=1,"Warning",IF(B6=2,"Drive Inhibit",IF(B6=3,"Severe",IF(B6=4,"Very Severe",IF(B6=5,"Return to Base","")))))</f>
        <v>Warning</v>
      </c>
      <c r="H6" s="7" t="str">
        <f>IF(B6="","",CONCATENATE("F",B6*10000+(IF(C6&lt;10,C6*10,(C6-10)*10+1)*100+D6)))</f>
        <v>F12001</v>
      </c>
      <c r="I6" s="7" t="s">
        <v>296</v>
      </c>
      <c r="J6" s="12" t="s">
        <v>297</v>
      </c>
      <c r="K6" s="12" t="s">
        <v>298</v>
      </c>
    </row>
    <row r="7" spans="2:11" x14ac:dyDescent="0.2">
      <c r="B7" s="7">
        <v>1</v>
      </c>
      <c r="C7" s="7">
        <v>5</v>
      </c>
      <c r="D7" s="7">
        <v>1</v>
      </c>
      <c r="E7" s="7" t="str">
        <f>IF(B7="","",CONCATENATE("0x",DEC2HEX(16384+(B7*1024)+(C7*64)+D7)))</f>
        <v>0x4541</v>
      </c>
      <c r="F7" s="7">
        <f t="shared" ref="F7:F70" si="0">HEX2DEC(RIGHT(E7,4))</f>
        <v>17729</v>
      </c>
      <c r="G7" s="7" t="str">
        <f>IF(B7=1,"Warning",IF(B7=2,"Drive Inhibit",IF(B7=3,"Severe",IF(B7=4,"Very Severe",IF(B7=5,"Return to Base","")))))</f>
        <v>Warning</v>
      </c>
      <c r="H7" s="7" t="str">
        <f>IF(B7="","",CONCATENATE("F",B7*10000+(IF(C7&lt;10,C7*10,(C7-10)*10+1)*100+D7)))</f>
        <v>F15001</v>
      </c>
      <c r="I7" s="7" t="s">
        <v>107</v>
      </c>
      <c r="J7" s="13" t="s">
        <v>124</v>
      </c>
      <c r="K7" s="13" t="s">
        <v>125</v>
      </c>
    </row>
    <row r="8" spans="2:11" x14ac:dyDescent="0.2">
      <c r="B8" s="7">
        <v>1</v>
      </c>
      <c r="C8" s="7">
        <v>5</v>
      </c>
      <c r="D8" s="7">
        <v>2</v>
      </c>
      <c r="E8" s="7" t="str">
        <f>IF(B8="","",CONCATENATE("0x",DEC2HEX(16384+(B8*1024)+(C8*64)+D8)))</f>
        <v>0x4542</v>
      </c>
      <c r="F8" s="7">
        <f t="shared" si="0"/>
        <v>17730</v>
      </c>
      <c r="G8" s="7" t="str">
        <f>IF(B8=1,"Warning",IF(B8=2,"Drive Inhibit",IF(B8=3,"Severe",IF(B8=4,"Very Severe",IF(B8=5,"Return to Base","")))))</f>
        <v>Warning</v>
      </c>
      <c r="H8" s="7" t="str">
        <f>IF(B8="","",CONCATENATE("F",B8*10000+(IF(C8&lt;10,C8*10,(C8-10)*10+1)*100+D8)))</f>
        <v>F15002</v>
      </c>
      <c r="I8" s="7" t="s">
        <v>448</v>
      </c>
      <c r="J8" s="13"/>
      <c r="K8" s="13"/>
    </row>
    <row r="9" spans="2:11" x14ac:dyDescent="0.2">
      <c r="B9" s="7">
        <v>1</v>
      </c>
      <c r="C9" s="7">
        <v>5</v>
      </c>
      <c r="D9" s="7">
        <v>2</v>
      </c>
      <c r="E9" s="7" t="str">
        <f t="shared" ref="E9:E20" si="1">IF(B9="","",CONCATENATE("0x",DEC2HEX(16384+(B9*1024)+(C9*64)+D9)))</f>
        <v>0x4542</v>
      </c>
      <c r="F9" s="7">
        <f t="shared" si="0"/>
        <v>17730</v>
      </c>
      <c r="G9" s="7" t="str">
        <f t="shared" ref="G9:G20" si="2">IF(B9=1,"Warning",IF(B9=2,"Drive Inhibit",IF(B9=3,"Severe",IF(B9=4,"Very Severe",IF(B9=5,"Return to Base","")))))</f>
        <v>Warning</v>
      </c>
      <c r="H9" s="7" t="str">
        <f t="shared" ref="H9:H20" si="3">IF(B9="","",CONCATENATE("F",B9*10000+(IF(C9&lt;10,C9*10,(C9-10)*10+1)*100+D9)))</f>
        <v>F15002</v>
      </c>
      <c r="I9" s="7" t="s">
        <v>25</v>
      </c>
      <c r="J9" s="12" t="s">
        <v>25</v>
      </c>
      <c r="K9" s="12" t="s">
        <v>334</v>
      </c>
    </row>
    <row r="10" spans="2:11" x14ac:dyDescent="0.2">
      <c r="B10" s="7">
        <v>1</v>
      </c>
      <c r="C10" s="7">
        <v>5</v>
      </c>
      <c r="D10" s="7">
        <v>3</v>
      </c>
      <c r="E10" s="7" t="str">
        <f t="shared" si="1"/>
        <v>0x4543</v>
      </c>
      <c r="F10" s="7">
        <f t="shared" si="0"/>
        <v>17731</v>
      </c>
      <c r="G10" s="7" t="str">
        <f t="shared" si="2"/>
        <v>Warning</v>
      </c>
      <c r="H10" s="7" t="str">
        <f t="shared" si="3"/>
        <v>F15003</v>
      </c>
      <c r="I10" s="7" t="s">
        <v>313</v>
      </c>
      <c r="J10" s="12" t="s">
        <v>336</v>
      </c>
      <c r="K10" s="12" t="s">
        <v>335</v>
      </c>
    </row>
    <row r="11" spans="2:11" x14ac:dyDescent="0.2">
      <c r="B11" s="7">
        <v>1</v>
      </c>
      <c r="C11" s="7">
        <v>5</v>
      </c>
      <c r="D11" s="7">
        <v>4</v>
      </c>
      <c r="E11" s="7" t="str">
        <f t="shared" si="1"/>
        <v>0x4544</v>
      </c>
      <c r="F11" s="7">
        <f t="shared" si="0"/>
        <v>17732</v>
      </c>
      <c r="G11" s="7" t="str">
        <f t="shared" si="2"/>
        <v>Warning</v>
      </c>
      <c r="H11" s="7" t="str">
        <f t="shared" si="3"/>
        <v>F15004</v>
      </c>
      <c r="I11" s="7" t="s">
        <v>314</v>
      </c>
      <c r="J11" s="12" t="s">
        <v>329</v>
      </c>
      <c r="K11" s="12" t="s">
        <v>341</v>
      </c>
    </row>
    <row r="12" spans="2:11" x14ac:dyDescent="0.2">
      <c r="B12" s="7">
        <v>1</v>
      </c>
      <c r="C12" s="7">
        <v>5</v>
      </c>
      <c r="D12" s="7">
        <v>5</v>
      </c>
      <c r="E12" s="7" t="str">
        <f t="shared" si="1"/>
        <v>0x4545</v>
      </c>
      <c r="F12" s="7">
        <f t="shared" si="0"/>
        <v>17733</v>
      </c>
      <c r="G12" s="7" t="str">
        <f t="shared" si="2"/>
        <v>Warning</v>
      </c>
      <c r="H12" s="7" t="str">
        <f t="shared" si="3"/>
        <v>F15005</v>
      </c>
      <c r="I12" s="7" t="s">
        <v>315</v>
      </c>
      <c r="J12" s="12" t="s">
        <v>330</v>
      </c>
      <c r="K12" s="12" t="s">
        <v>340</v>
      </c>
    </row>
    <row r="13" spans="2:11" x14ac:dyDescent="0.2">
      <c r="B13" s="7">
        <v>1</v>
      </c>
      <c r="C13" s="7">
        <v>5</v>
      </c>
      <c r="D13" s="7">
        <v>6</v>
      </c>
      <c r="E13" s="7" t="str">
        <f t="shared" si="1"/>
        <v>0x4546</v>
      </c>
      <c r="F13" s="7">
        <f t="shared" si="0"/>
        <v>17734</v>
      </c>
      <c r="G13" s="7" t="str">
        <f t="shared" si="2"/>
        <v>Warning</v>
      </c>
      <c r="H13" s="7" t="str">
        <f t="shared" si="3"/>
        <v>F15006</v>
      </c>
      <c r="I13" s="7" t="s">
        <v>316</v>
      </c>
      <c r="J13" s="12" t="s">
        <v>331</v>
      </c>
      <c r="K13" s="12" t="s">
        <v>339</v>
      </c>
    </row>
    <row r="14" spans="2:11" x14ac:dyDescent="0.2">
      <c r="B14" s="7">
        <v>1</v>
      </c>
      <c r="C14" s="7">
        <v>5</v>
      </c>
      <c r="D14" s="7">
        <v>7</v>
      </c>
      <c r="E14" s="7" t="str">
        <f t="shared" si="1"/>
        <v>0x4547</v>
      </c>
      <c r="F14" s="7">
        <f t="shared" si="0"/>
        <v>17735</v>
      </c>
      <c r="G14" s="7" t="str">
        <f t="shared" si="2"/>
        <v>Warning</v>
      </c>
      <c r="H14" s="7" t="str">
        <f t="shared" si="3"/>
        <v>F15007</v>
      </c>
      <c r="I14" s="7" t="s">
        <v>317</v>
      </c>
      <c r="J14" s="12" t="s">
        <v>332</v>
      </c>
      <c r="K14" s="12" t="s">
        <v>337</v>
      </c>
    </row>
    <row r="15" spans="2:11" x14ac:dyDescent="0.2">
      <c r="B15" s="7">
        <v>1</v>
      </c>
      <c r="C15" s="7">
        <v>5</v>
      </c>
      <c r="D15" s="7">
        <v>8</v>
      </c>
      <c r="E15" s="7" t="str">
        <f t="shared" si="1"/>
        <v>0x4548</v>
      </c>
      <c r="F15" s="7">
        <f t="shared" si="0"/>
        <v>17736</v>
      </c>
      <c r="G15" s="7" t="str">
        <f t="shared" si="2"/>
        <v>Warning</v>
      </c>
      <c r="H15" s="7" t="str">
        <f t="shared" si="3"/>
        <v>F15008</v>
      </c>
      <c r="I15" s="7" t="s">
        <v>318</v>
      </c>
      <c r="J15" s="12" t="s">
        <v>333</v>
      </c>
      <c r="K15" s="12" t="s">
        <v>338</v>
      </c>
    </row>
    <row r="16" spans="2:11" x14ac:dyDescent="0.2">
      <c r="B16" s="7">
        <v>1</v>
      </c>
      <c r="C16" s="7">
        <v>5</v>
      </c>
      <c r="D16" s="7">
        <v>9</v>
      </c>
      <c r="E16" s="7" t="str">
        <f t="shared" si="1"/>
        <v>0x4549</v>
      </c>
      <c r="F16" s="7">
        <f t="shared" si="0"/>
        <v>17737</v>
      </c>
      <c r="G16" s="7" t="str">
        <f t="shared" si="2"/>
        <v>Warning</v>
      </c>
      <c r="H16" s="7" t="str">
        <f t="shared" si="3"/>
        <v>F15009</v>
      </c>
      <c r="I16" s="7" t="s">
        <v>357</v>
      </c>
      <c r="J16" s="12" t="s">
        <v>358</v>
      </c>
      <c r="K16" s="12" t="s">
        <v>359</v>
      </c>
    </row>
    <row r="17" spans="2:11" ht="22.5" x14ac:dyDescent="0.2">
      <c r="B17" s="7">
        <v>1</v>
      </c>
      <c r="C17" s="7">
        <v>5</v>
      </c>
      <c r="D17" s="7">
        <v>10</v>
      </c>
      <c r="E17" s="7" t="str">
        <f t="shared" si="1"/>
        <v>0x454A</v>
      </c>
      <c r="F17" s="7">
        <f t="shared" si="0"/>
        <v>17738</v>
      </c>
      <c r="G17" s="7" t="str">
        <f t="shared" si="2"/>
        <v>Warning</v>
      </c>
      <c r="H17" s="7" t="str">
        <f t="shared" si="3"/>
        <v>F15010</v>
      </c>
      <c r="I17" s="7" t="s">
        <v>376</v>
      </c>
      <c r="J17" s="12" t="s">
        <v>377</v>
      </c>
      <c r="K17" s="12" t="s">
        <v>378</v>
      </c>
    </row>
    <row r="18" spans="2:11" x14ac:dyDescent="0.2">
      <c r="B18" s="7">
        <v>1</v>
      </c>
      <c r="C18" s="7">
        <v>5</v>
      </c>
      <c r="D18" s="7">
        <v>11</v>
      </c>
      <c r="E18" s="7" t="str">
        <f t="shared" si="1"/>
        <v>0x454B</v>
      </c>
      <c r="F18" s="7">
        <f t="shared" si="0"/>
        <v>17739</v>
      </c>
      <c r="G18" s="7" t="str">
        <f t="shared" si="2"/>
        <v>Warning</v>
      </c>
      <c r="H18" s="7" t="str">
        <f t="shared" si="3"/>
        <v>F15011</v>
      </c>
      <c r="I18" s="7" t="s">
        <v>411</v>
      </c>
      <c r="J18" s="12" t="s">
        <v>410</v>
      </c>
      <c r="K18" s="12" t="s">
        <v>378</v>
      </c>
    </row>
    <row r="19" spans="2:11" x14ac:dyDescent="0.2">
      <c r="B19" s="7">
        <v>1</v>
      </c>
      <c r="C19" s="7">
        <v>5</v>
      </c>
      <c r="D19" s="7">
        <v>12</v>
      </c>
      <c r="E19" s="7" t="str">
        <f t="shared" si="1"/>
        <v>0x454C</v>
      </c>
      <c r="F19" s="7">
        <f t="shared" si="0"/>
        <v>17740</v>
      </c>
      <c r="G19" s="7" t="str">
        <f t="shared" si="2"/>
        <v>Warning</v>
      </c>
      <c r="H19" s="7" t="str">
        <f t="shared" si="3"/>
        <v>F15012</v>
      </c>
      <c r="I19" s="7" t="s">
        <v>385</v>
      </c>
      <c r="J19" s="12" t="s">
        <v>386</v>
      </c>
      <c r="K19" s="12" t="s">
        <v>387</v>
      </c>
    </row>
    <row r="20" spans="2:11" x14ac:dyDescent="0.2">
      <c r="B20" s="7">
        <v>1</v>
      </c>
      <c r="C20" s="7">
        <v>5</v>
      </c>
      <c r="D20" s="7">
        <v>13</v>
      </c>
      <c r="E20" s="7" t="str">
        <f t="shared" si="1"/>
        <v>0x454D</v>
      </c>
      <c r="F20" s="7">
        <f t="shared" si="0"/>
        <v>17741</v>
      </c>
      <c r="G20" s="7" t="str">
        <f t="shared" si="2"/>
        <v>Warning</v>
      </c>
      <c r="H20" s="7" t="str">
        <f t="shared" si="3"/>
        <v>F15013</v>
      </c>
      <c r="I20" s="7" t="s">
        <v>388</v>
      </c>
      <c r="J20" s="12" t="s">
        <v>389</v>
      </c>
      <c r="K20" s="12" t="s">
        <v>387</v>
      </c>
    </row>
    <row r="21" spans="2:11" x14ac:dyDescent="0.2">
      <c r="B21" s="7">
        <v>1</v>
      </c>
      <c r="C21" s="7">
        <v>6</v>
      </c>
      <c r="D21" s="7">
        <v>1</v>
      </c>
      <c r="E21" s="7" t="str">
        <f t="shared" ref="E21:E30" si="4">IF(B21="","",CONCATENATE("0x",DEC2HEX(16384+(B21*1024)+(C21*64)+D21)))</f>
        <v>0x4581</v>
      </c>
      <c r="F21" s="7">
        <f t="shared" si="0"/>
        <v>17793</v>
      </c>
      <c r="G21" s="7" t="str">
        <f t="shared" ref="G21:G31" si="5">IF(B21=1,"Warning",IF(B21=2,"Drive Inhibit",IF(B21=3,"Severe",IF(B21=4,"Very Severe",IF(B21=5,"Return to Base","")))))</f>
        <v>Warning</v>
      </c>
      <c r="H21" s="7" t="str">
        <f t="shared" ref="H21:H31" si="6">IF(B21="","",CONCATENATE("F",B21*10000+(IF(C21&lt;10,C21*10,(C21-10)*10+1)*100+D21)))</f>
        <v>F16001</v>
      </c>
      <c r="I21" s="7" t="s">
        <v>290</v>
      </c>
      <c r="J21" s="12" t="s">
        <v>454</v>
      </c>
      <c r="K21" s="12" t="s">
        <v>291</v>
      </c>
    </row>
    <row r="22" spans="2:11" ht="22.5" x14ac:dyDescent="0.2">
      <c r="B22" s="7">
        <v>1</v>
      </c>
      <c r="C22" s="7">
        <v>6</v>
      </c>
      <c r="D22" s="7">
        <v>2</v>
      </c>
      <c r="E22" s="7" t="str">
        <f t="shared" si="4"/>
        <v>0x4582</v>
      </c>
      <c r="F22" s="7">
        <f t="shared" si="0"/>
        <v>17794</v>
      </c>
      <c r="G22" s="7" t="str">
        <f t="shared" si="5"/>
        <v>Warning</v>
      </c>
      <c r="H22" s="7" t="str">
        <f t="shared" si="6"/>
        <v>F16002</v>
      </c>
      <c r="I22" s="7" t="s">
        <v>292</v>
      </c>
      <c r="J22" s="12" t="s">
        <v>293</v>
      </c>
      <c r="K22" s="12" t="s">
        <v>291</v>
      </c>
    </row>
    <row r="23" spans="2:11" ht="22.5" x14ac:dyDescent="0.2">
      <c r="B23" s="7">
        <v>1</v>
      </c>
      <c r="C23" s="7">
        <v>6</v>
      </c>
      <c r="D23" s="7">
        <v>3</v>
      </c>
      <c r="E23" s="7" t="str">
        <f t="shared" si="4"/>
        <v>0x4583</v>
      </c>
      <c r="F23" s="7">
        <f t="shared" si="0"/>
        <v>17795</v>
      </c>
      <c r="G23" s="7" t="str">
        <f t="shared" si="5"/>
        <v>Warning</v>
      </c>
      <c r="H23" s="7" t="str">
        <f t="shared" si="6"/>
        <v>F16003</v>
      </c>
      <c r="I23" s="7" t="s">
        <v>294</v>
      </c>
      <c r="J23" s="12" t="s">
        <v>295</v>
      </c>
      <c r="K23" s="12" t="s">
        <v>291</v>
      </c>
    </row>
    <row r="24" spans="2:11" ht="22.5" x14ac:dyDescent="0.2">
      <c r="B24" s="7">
        <v>1</v>
      </c>
      <c r="C24" s="7">
        <v>6</v>
      </c>
      <c r="D24" s="7">
        <v>4</v>
      </c>
      <c r="E24" s="7" t="str">
        <f t="shared" si="4"/>
        <v>0x4584</v>
      </c>
      <c r="F24" s="7">
        <f t="shared" si="0"/>
        <v>17796</v>
      </c>
      <c r="G24" s="7" t="str">
        <f t="shared" si="5"/>
        <v>Warning</v>
      </c>
      <c r="H24" s="7" t="str">
        <f t="shared" si="6"/>
        <v>F16004</v>
      </c>
      <c r="I24" s="7" t="s">
        <v>347</v>
      </c>
      <c r="J24" s="13" t="s">
        <v>216</v>
      </c>
      <c r="K24" s="13" t="s">
        <v>217</v>
      </c>
    </row>
    <row r="25" spans="2:11" x14ac:dyDescent="0.2">
      <c r="B25" s="7">
        <v>1</v>
      </c>
      <c r="C25" s="7">
        <v>6</v>
      </c>
      <c r="D25" s="7">
        <v>5</v>
      </c>
      <c r="E25" s="7" t="str">
        <f t="shared" si="4"/>
        <v>0x4585</v>
      </c>
      <c r="F25" s="7">
        <f t="shared" si="0"/>
        <v>17797</v>
      </c>
      <c r="G25" s="7" t="str">
        <f t="shared" si="5"/>
        <v>Warning</v>
      </c>
      <c r="H25" s="7" t="str">
        <f t="shared" si="6"/>
        <v>F16005</v>
      </c>
      <c r="I25" s="7" t="s">
        <v>348</v>
      </c>
      <c r="J25" s="13" t="s">
        <v>219</v>
      </c>
      <c r="K25" s="13" t="s">
        <v>194</v>
      </c>
    </row>
    <row r="26" spans="2:11" ht="22.5" x14ac:dyDescent="0.2">
      <c r="B26" s="7">
        <v>1</v>
      </c>
      <c r="C26" s="7">
        <v>6</v>
      </c>
      <c r="D26" s="7">
        <v>6</v>
      </c>
      <c r="E26" s="7" t="str">
        <f t="shared" si="4"/>
        <v>0x4586</v>
      </c>
      <c r="F26" s="7">
        <f t="shared" si="0"/>
        <v>17798</v>
      </c>
      <c r="G26" s="7" t="str">
        <f t="shared" si="5"/>
        <v>Warning</v>
      </c>
      <c r="H26" s="7" t="str">
        <f t="shared" si="6"/>
        <v>F16006</v>
      </c>
      <c r="I26" s="7" t="s">
        <v>349</v>
      </c>
      <c r="J26" s="13" t="s">
        <v>260</v>
      </c>
      <c r="K26" s="13" t="s">
        <v>217</v>
      </c>
    </row>
    <row r="27" spans="2:11" ht="22.5" x14ac:dyDescent="0.2">
      <c r="B27" s="7">
        <v>1</v>
      </c>
      <c r="C27" s="7">
        <v>6</v>
      </c>
      <c r="D27" s="7">
        <v>7</v>
      </c>
      <c r="E27" s="7" t="str">
        <f t="shared" si="4"/>
        <v>0x4587</v>
      </c>
      <c r="F27" s="7">
        <f t="shared" si="0"/>
        <v>17799</v>
      </c>
      <c r="G27" s="7" t="str">
        <f t="shared" si="5"/>
        <v>Warning</v>
      </c>
      <c r="H27" s="7" t="str">
        <f t="shared" si="6"/>
        <v>F16007</v>
      </c>
      <c r="I27" s="7" t="s">
        <v>350</v>
      </c>
      <c r="J27" s="13" t="s">
        <v>220</v>
      </c>
      <c r="K27" s="13" t="s">
        <v>221</v>
      </c>
    </row>
    <row r="28" spans="2:11" x14ac:dyDescent="0.2">
      <c r="B28" s="7">
        <v>1</v>
      </c>
      <c r="C28" s="7">
        <v>6</v>
      </c>
      <c r="D28" s="7">
        <v>8</v>
      </c>
      <c r="E28" s="7" t="str">
        <f t="shared" si="4"/>
        <v>0x4588</v>
      </c>
      <c r="F28" s="7">
        <f t="shared" si="0"/>
        <v>17800</v>
      </c>
      <c r="G28" s="7" t="str">
        <f t="shared" si="5"/>
        <v>Warning</v>
      </c>
      <c r="H28" s="7" t="str">
        <f t="shared" si="6"/>
        <v>F16008</v>
      </c>
      <c r="I28" s="7" t="s">
        <v>351</v>
      </c>
      <c r="J28" s="13" t="s">
        <v>262</v>
      </c>
      <c r="K28" s="13" t="s">
        <v>194</v>
      </c>
    </row>
    <row r="29" spans="2:11" x14ac:dyDescent="0.2">
      <c r="B29" s="7">
        <v>1</v>
      </c>
      <c r="C29" s="7">
        <v>6</v>
      </c>
      <c r="D29" s="7">
        <v>9</v>
      </c>
      <c r="E29" s="7" t="str">
        <f t="shared" si="4"/>
        <v>0x4589</v>
      </c>
      <c r="F29" s="7">
        <f t="shared" si="0"/>
        <v>17801</v>
      </c>
      <c r="G29" s="7" t="str">
        <f t="shared" si="5"/>
        <v>Warning</v>
      </c>
      <c r="H29" s="7" t="str">
        <f t="shared" si="6"/>
        <v>F16009</v>
      </c>
      <c r="I29" s="7" t="s">
        <v>373</v>
      </c>
      <c r="J29" s="12" t="s">
        <v>374</v>
      </c>
      <c r="K29" s="12" t="s">
        <v>375</v>
      </c>
    </row>
    <row r="30" spans="2:11" ht="22.5" x14ac:dyDescent="0.2">
      <c r="B30" s="7">
        <v>1</v>
      </c>
      <c r="C30" s="7">
        <v>6</v>
      </c>
      <c r="D30" s="7">
        <v>10</v>
      </c>
      <c r="E30" s="7" t="str">
        <f t="shared" si="4"/>
        <v>0x458A</v>
      </c>
      <c r="F30" s="7">
        <f t="shared" si="0"/>
        <v>17802</v>
      </c>
      <c r="G30" s="7" t="str">
        <f t="shared" si="5"/>
        <v>Warning</v>
      </c>
      <c r="H30" s="7" t="str">
        <f t="shared" si="6"/>
        <v>F16010</v>
      </c>
      <c r="I30" s="7" t="s">
        <v>393</v>
      </c>
      <c r="J30" s="12" t="s">
        <v>394</v>
      </c>
      <c r="K30" s="12" t="s">
        <v>395</v>
      </c>
    </row>
    <row r="31" spans="2:11" ht="22.5" x14ac:dyDescent="0.2">
      <c r="B31" s="7">
        <v>1</v>
      </c>
      <c r="C31" s="7">
        <v>7</v>
      </c>
      <c r="D31" s="7">
        <v>1</v>
      </c>
      <c r="E31" s="7" t="str">
        <f t="shared" ref="E31:E47" si="7">IF(B31="","",CONCATENATE("0x",DEC2HEX(16384+(B31*1024)+(C31*64)+D31)))</f>
        <v>0x45C1</v>
      </c>
      <c r="F31" s="7">
        <f t="shared" si="0"/>
        <v>17857</v>
      </c>
      <c r="G31" s="7" t="str">
        <f t="shared" si="5"/>
        <v>Warning</v>
      </c>
      <c r="H31" s="7" t="str">
        <f t="shared" si="6"/>
        <v>F17001</v>
      </c>
      <c r="I31" s="7" t="s">
        <v>7</v>
      </c>
      <c r="J31" s="13" t="s">
        <v>127</v>
      </c>
      <c r="K31" s="13" t="s">
        <v>126</v>
      </c>
    </row>
    <row r="32" spans="2:11" ht="22.5" x14ac:dyDescent="0.2">
      <c r="B32" s="7">
        <v>1</v>
      </c>
      <c r="C32" s="7">
        <v>7</v>
      </c>
      <c r="D32" s="7">
        <v>2</v>
      </c>
      <c r="E32" s="7" t="str">
        <f t="shared" si="7"/>
        <v>0x45C2</v>
      </c>
      <c r="F32" s="7">
        <f t="shared" si="0"/>
        <v>17858</v>
      </c>
      <c r="G32" s="7" t="str">
        <f t="shared" ref="G32:G48" si="8">IF(B32=1,"Warning",IF(B32=2,"Drive Inhibit",IF(B32=3,"Severe",IF(B32=4,"Very Severe",IF(B32=5,"Return to Base","")))))</f>
        <v>Warning</v>
      </c>
      <c r="H32" s="7" t="str">
        <f t="shared" ref="H32:H47" si="9">IF(B32="","",CONCATENATE("F",B32*10000+(IF(C32&lt;10,C32*10,(C32-10)*10+1)*100+D32)))</f>
        <v>F17002</v>
      </c>
      <c r="I32" s="7" t="s">
        <v>8</v>
      </c>
      <c r="J32" s="13" t="s">
        <v>128</v>
      </c>
      <c r="K32" s="13" t="s">
        <v>126</v>
      </c>
    </row>
    <row r="33" spans="2:11" ht="22.5" x14ac:dyDescent="0.2">
      <c r="B33" s="7">
        <v>1</v>
      </c>
      <c r="C33" s="7">
        <v>7</v>
      </c>
      <c r="D33" s="7">
        <v>3</v>
      </c>
      <c r="E33" s="7" t="str">
        <f t="shared" si="7"/>
        <v>0x45C3</v>
      </c>
      <c r="F33" s="7">
        <f t="shared" si="0"/>
        <v>17859</v>
      </c>
      <c r="G33" s="7" t="str">
        <f t="shared" si="8"/>
        <v>Warning</v>
      </c>
      <c r="H33" s="7" t="str">
        <f t="shared" si="9"/>
        <v>F17003</v>
      </c>
      <c r="I33" s="7" t="s">
        <v>9</v>
      </c>
      <c r="J33" s="13" t="s">
        <v>129</v>
      </c>
      <c r="K33" s="13" t="s">
        <v>126</v>
      </c>
    </row>
    <row r="34" spans="2:11" ht="22.5" x14ac:dyDescent="0.2">
      <c r="B34" s="7">
        <v>1</v>
      </c>
      <c r="C34" s="7">
        <v>7</v>
      </c>
      <c r="D34" s="7">
        <v>4</v>
      </c>
      <c r="E34" s="7" t="str">
        <f t="shared" si="7"/>
        <v>0x45C4</v>
      </c>
      <c r="F34" s="7">
        <f t="shared" si="0"/>
        <v>17860</v>
      </c>
      <c r="G34" s="7" t="str">
        <f t="shared" si="8"/>
        <v>Warning</v>
      </c>
      <c r="H34" s="7" t="str">
        <f t="shared" si="9"/>
        <v>F17004</v>
      </c>
      <c r="I34" s="7" t="s">
        <v>10</v>
      </c>
      <c r="J34" s="13" t="s">
        <v>130</v>
      </c>
      <c r="K34" s="13" t="s">
        <v>126</v>
      </c>
    </row>
    <row r="35" spans="2:11" ht="22.5" x14ac:dyDescent="0.2">
      <c r="B35" s="7">
        <v>1</v>
      </c>
      <c r="C35" s="7">
        <v>7</v>
      </c>
      <c r="D35" s="7">
        <v>5</v>
      </c>
      <c r="E35" s="7" t="str">
        <f t="shared" si="7"/>
        <v>0x45C5</v>
      </c>
      <c r="F35" s="7">
        <f t="shared" si="0"/>
        <v>17861</v>
      </c>
      <c r="G35" s="7" t="str">
        <f t="shared" si="8"/>
        <v>Warning</v>
      </c>
      <c r="H35" s="7" t="str">
        <f t="shared" si="9"/>
        <v>F17005</v>
      </c>
      <c r="I35" s="7" t="s">
        <v>11</v>
      </c>
      <c r="J35" s="13" t="s">
        <v>131</v>
      </c>
      <c r="K35" s="13" t="s">
        <v>126</v>
      </c>
    </row>
    <row r="36" spans="2:11" ht="45" x14ac:dyDescent="0.2">
      <c r="B36" s="7">
        <v>1</v>
      </c>
      <c r="C36" s="7">
        <v>7</v>
      </c>
      <c r="D36" s="7">
        <v>6</v>
      </c>
      <c r="E36" s="7" t="str">
        <f t="shared" si="7"/>
        <v>0x45C6</v>
      </c>
      <c r="F36" s="7">
        <f t="shared" si="0"/>
        <v>17862</v>
      </c>
      <c r="G36" s="7" t="str">
        <f t="shared" si="8"/>
        <v>Warning</v>
      </c>
      <c r="H36" s="7" t="str">
        <f t="shared" si="9"/>
        <v>F17006</v>
      </c>
      <c r="I36" s="7" t="s">
        <v>12</v>
      </c>
      <c r="J36" s="13" t="s">
        <v>134</v>
      </c>
      <c r="K36" s="13" t="s">
        <v>126</v>
      </c>
    </row>
    <row r="37" spans="2:11" ht="22.5" x14ac:dyDescent="0.2">
      <c r="B37" s="7">
        <v>1</v>
      </c>
      <c r="C37" s="7">
        <v>7</v>
      </c>
      <c r="D37" s="7">
        <v>7</v>
      </c>
      <c r="E37" s="7" t="str">
        <f t="shared" si="7"/>
        <v>0x45C7</v>
      </c>
      <c r="F37" s="7">
        <f t="shared" si="0"/>
        <v>17863</v>
      </c>
      <c r="G37" s="7" t="str">
        <f t="shared" si="8"/>
        <v>Warning</v>
      </c>
      <c r="H37" s="7" t="str">
        <f t="shared" si="9"/>
        <v>F17007</v>
      </c>
      <c r="I37" s="7" t="s">
        <v>13</v>
      </c>
      <c r="J37" s="13" t="s">
        <v>132</v>
      </c>
      <c r="K37" s="13" t="s">
        <v>126</v>
      </c>
    </row>
    <row r="38" spans="2:11" ht="22.5" x14ac:dyDescent="0.2">
      <c r="B38" s="7">
        <v>1</v>
      </c>
      <c r="C38" s="7">
        <v>7</v>
      </c>
      <c r="D38" s="7">
        <v>8</v>
      </c>
      <c r="E38" s="7" t="str">
        <f t="shared" si="7"/>
        <v>0x45C8</v>
      </c>
      <c r="F38" s="7">
        <f t="shared" si="0"/>
        <v>17864</v>
      </c>
      <c r="G38" s="7" t="str">
        <f t="shared" si="8"/>
        <v>Warning</v>
      </c>
      <c r="H38" s="7" t="str">
        <f t="shared" si="9"/>
        <v>F17008</v>
      </c>
      <c r="I38" s="7" t="s">
        <v>14</v>
      </c>
      <c r="J38" s="13" t="s">
        <v>133</v>
      </c>
      <c r="K38" s="13" t="s">
        <v>126</v>
      </c>
    </row>
    <row r="39" spans="2:11" ht="22.5" x14ac:dyDescent="0.2">
      <c r="B39" s="7">
        <v>1</v>
      </c>
      <c r="C39" s="7">
        <v>7</v>
      </c>
      <c r="D39" s="7">
        <v>9</v>
      </c>
      <c r="E39" s="7" t="str">
        <f t="shared" si="7"/>
        <v>0x45C9</v>
      </c>
      <c r="F39" s="7">
        <f t="shared" si="0"/>
        <v>17865</v>
      </c>
      <c r="G39" s="7" t="str">
        <f t="shared" si="8"/>
        <v>Warning</v>
      </c>
      <c r="H39" s="7" t="str">
        <f t="shared" si="9"/>
        <v>F17009</v>
      </c>
      <c r="I39" s="7" t="s">
        <v>299</v>
      </c>
      <c r="J39" s="12" t="s">
        <v>399</v>
      </c>
      <c r="K39" s="13" t="s">
        <v>126</v>
      </c>
    </row>
    <row r="40" spans="2:11" ht="22.5" x14ac:dyDescent="0.2">
      <c r="B40" s="7">
        <v>1</v>
      </c>
      <c r="C40" s="7">
        <v>7</v>
      </c>
      <c r="D40" s="7">
        <v>10</v>
      </c>
      <c r="E40" s="7" t="str">
        <f t="shared" si="7"/>
        <v>0x45CA</v>
      </c>
      <c r="F40" s="7">
        <f t="shared" si="0"/>
        <v>17866</v>
      </c>
      <c r="G40" s="7" t="str">
        <f t="shared" si="8"/>
        <v>Warning</v>
      </c>
      <c r="H40" s="7" t="str">
        <f t="shared" si="9"/>
        <v>F17010</v>
      </c>
      <c r="I40" s="7" t="s">
        <v>300</v>
      </c>
      <c r="J40" s="12" t="s">
        <v>400</v>
      </c>
      <c r="K40" s="13" t="s">
        <v>126</v>
      </c>
    </row>
    <row r="41" spans="2:11" x14ac:dyDescent="0.2">
      <c r="B41" s="7">
        <v>1</v>
      </c>
      <c r="C41" s="7">
        <v>7</v>
      </c>
      <c r="D41" s="7">
        <v>11</v>
      </c>
      <c r="E41" s="7" t="str">
        <f t="shared" si="7"/>
        <v>0x45CB</v>
      </c>
      <c r="F41" s="7">
        <f t="shared" si="0"/>
        <v>17867</v>
      </c>
      <c r="G41" s="7" t="str">
        <f t="shared" si="8"/>
        <v>Warning</v>
      </c>
      <c r="H41" s="7" t="str">
        <f t="shared" si="9"/>
        <v>F17011</v>
      </c>
      <c r="I41" s="7" t="s">
        <v>440</v>
      </c>
      <c r="J41" s="12" t="s">
        <v>440</v>
      </c>
      <c r="K41" s="12" t="s">
        <v>450</v>
      </c>
    </row>
    <row r="42" spans="2:11" x14ac:dyDescent="0.2">
      <c r="B42" s="7">
        <v>1</v>
      </c>
      <c r="C42" s="7">
        <v>7</v>
      </c>
      <c r="D42" s="7">
        <v>12</v>
      </c>
      <c r="E42" s="7" t="str">
        <f t="shared" si="7"/>
        <v>0x45CC</v>
      </c>
      <c r="F42" s="7">
        <f t="shared" si="0"/>
        <v>17868</v>
      </c>
      <c r="G42" s="7" t="str">
        <f t="shared" si="8"/>
        <v>Warning</v>
      </c>
      <c r="H42" s="7" t="str">
        <f t="shared" si="9"/>
        <v>F17012</v>
      </c>
      <c r="I42" s="7" t="s">
        <v>449</v>
      </c>
      <c r="J42" s="12" t="s">
        <v>449</v>
      </c>
      <c r="K42" s="12" t="s">
        <v>450</v>
      </c>
    </row>
    <row r="43" spans="2:11" ht="22.5" x14ac:dyDescent="0.2">
      <c r="B43" s="7">
        <v>1</v>
      </c>
      <c r="C43" s="7">
        <v>7</v>
      </c>
      <c r="D43" s="7">
        <v>13</v>
      </c>
      <c r="E43" s="7" t="str">
        <f>IF(B43="","",CONCATENATE("0x",DEC2HEX(16384+(B43*1024)+(C43*64)+D43)))</f>
        <v>0x45CD</v>
      </c>
      <c r="F43" s="7">
        <f t="shared" si="0"/>
        <v>17869</v>
      </c>
      <c r="G43" s="7" t="str">
        <f t="shared" si="8"/>
        <v>Warning</v>
      </c>
      <c r="H43" s="7" t="str">
        <f t="shared" si="9"/>
        <v>F17013</v>
      </c>
      <c r="I43" s="7" t="s">
        <v>419</v>
      </c>
      <c r="J43" s="12" t="s">
        <v>420</v>
      </c>
      <c r="K43" s="12" t="s">
        <v>421</v>
      </c>
    </row>
    <row r="44" spans="2:11" x14ac:dyDescent="0.2">
      <c r="B44" s="7">
        <v>1</v>
      </c>
      <c r="C44" s="7">
        <v>7</v>
      </c>
      <c r="D44" s="7">
        <v>14</v>
      </c>
      <c r="E44" s="7" t="str">
        <f>IF(B44="","",CONCATENATE("0x",DEC2HEX(16384+(B44*1024)+(C44*64)+D44)))</f>
        <v>0x45CE</v>
      </c>
      <c r="F44" s="7">
        <f t="shared" si="0"/>
        <v>17870</v>
      </c>
      <c r="G44" s="7" t="str">
        <f t="shared" si="8"/>
        <v>Warning</v>
      </c>
      <c r="H44" s="7" t="str">
        <f t="shared" si="9"/>
        <v>F17014</v>
      </c>
      <c r="I44" s="7" t="s">
        <v>441</v>
      </c>
      <c r="J44" s="12" t="s">
        <v>439</v>
      </c>
      <c r="K44" s="13" t="s">
        <v>126</v>
      </c>
    </row>
    <row r="45" spans="2:11" ht="22.5" x14ac:dyDescent="0.2">
      <c r="B45" s="7">
        <v>1</v>
      </c>
      <c r="C45" s="7">
        <v>8</v>
      </c>
      <c r="D45" s="7">
        <v>1</v>
      </c>
      <c r="E45" s="7" t="str">
        <f t="shared" si="7"/>
        <v>0x4601</v>
      </c>
      <c r="F45" s="7">
        <f t="shared" si="0"/>
        <v>17921</v>
      </c>
      <c r="G45" s="7" t="str">
        <f t="shared" si="8"/>
        <v>Warning</v>
      </c>
      <c r="H45" s="7" t="str">
        <f t="shared" si="9"/>
        <v>F18001</v>
      </c>
      <c r="I45" s="7" t="s">
        <v>15</v>
      </c>
      <c r="J45" s="13" t="s">
        <v>135</v>
      </c>
      <c r="K45" s="13" t="s">
        <v>136</v>
      </c>
    </row>
    <row r="46" spans="2:11" ht="22.5" x14ac:dyDescent="0.2">
      <c r="B46" s="7">
        <v>1</v>
      </c>
      <c r="C46" s="7">
        <v>8</v>
      </c>
      <c r="D46" s="7">
        <v>2</v>
      </c>
      <c r="E46" s="7" t="str">
        <f t="shared" si="7"/>
        <v>0x4602</v>
      </c>
      <c r="F46" s="7">
        <f t="shared" si="0"/>
        <v>17922</v>
      </c>
      <c r="G46" s="7" t="str">
        <f t="shared" si="8"/>
        <v>Warning</v>
      </c>
      <c r="H46" s="7" t="str">
        <f t="shared" si="9"/>
        <v>F18002</v>
      </c>
      <c r="I46" s="7" t="s">
        <v>16</v>
      </c>
      <c r="J46" s="13" t="s">
        <v>137</v>
      </c>
      <c r="K46" s="13" t="s">
        <v>138</v>
      </c>
    </row>
    <row r="47" spans="2:11" ht="22.5" x14ac:dyDescent="0.2">
      <c r="B47" s="7">
        <v>1</v>
      </c>
      <c r="C47" s="7">
        <v>8</v>
      </c>
      <c r="D47" s="7">
        <v>3</v>
      </c>
      <c r="E47" s="7" t="str">
        <f t="shared" si="7"/>
        <v>0x4603</v>
      </c>
      <c r="F47" s="7">
        <f t="shared" si="0"/>
        <v>17923</v>
      </c>
      <c r="G47" s="7" t="str">
        <f t="shared" si="8"/>
        <v>Warning</v>
      </c>
      <c r="H47" s="7" t="str">
        <f t="shared" si="9"/>
        <v>F18003</v>
      </c>
      <c r="I47" s="7" t="s">
        <v>17</v>
      </c>
      <c r="J47" s="13" t="s">
        <v>139</v>
      </c>
      <c r="K47" s="13" t="s">
        <v>140</v>
      </c>
    </row>
    <row r="48" spans="2:11" x14ac:dyDescent="0.2">
      <c r="B48" s="7">
        <v>1</v>
      </c>
      <c r="C48" s="7">
        <v>8</v>
      </c>
      <c r="D48" s="7">
        <v>4</v>
      </c>
      <c r="E48" s="7" t="s">
        <v>249</v>
      </c>
      <c r="F48" s="7">
        <f t="shared" si="0"/>
        <v>17924</v>
      </c>
      <c r="G48" s="7" t="str">
        <f t="shared" si="8"/>
        <v>Warning</v>
      </c>
      <c r="H48" s="7" t="s">
        <v>250</v>
      </c>
      <c r="I48" s="7" t="s">
        <v>251</v>
      </c>
      <c r="J48" s="13" t="s">
        <v>252</v>
      </c>
      <c r="K48" s="13" t="s">
        <v>253</v>
      </c>
    </row>
    <row r="49" spans="2:11" x14ac:dyDescent="0.2">
      <c r="B49" s="7">
        <v>1</v>
      </c>
      <c r="C49" s="7">
        <v>10</v>
      </c>
      <c r="D49" s="7">
        <v>1</v>
      </c>
      <c r="E49" s="7" t="str">
        <f t="shared" ref="E49:E71" si="10">IF(B49="","",CONCATENATE("0x",DEC2HEX(16384+(B49*1024)+(C49*64)+D49)))</f>
        <v>0x4681</v>
      </c>
      <c r="F49" s="7">
        <f t="shared" si="0"/>
        <v>18049</v>
      </c>
      <c r="G49" s="7" t="str">
        <f t="shared" ref="G49:G60" si="11">IF(B49=1,"Warning",IF(B49=2,"Drive Inhibit",IF(B49=3,"Severe",IF(B49=4,"Very Severe",IF(B49=5,"Return to Base","")))))</f>
        <v>Warning</v>
      </c>
      <c r="H49" s="7" t="str">
        <f t="shared" ref="H49:H60" si="12">IF(B49="","",CONCATENATE("F",B49*10000+(IF(C49&lt;10,C49*10,(C49-10)*10+1)*100+D49)))</f>
        <v>F10101</v>
      </c>
      <c r="I49" s="7" t="s">
        <v>106</v>
      </c>
      <c r="J49" s="13" t="s">
        <v>142</v>
      </c>
      <c r="K49" s="13" t="s">
        <v>141</v>
      </c>
    </row>
    <row r="50" spans="2:11" ht="22.5" x14ac:dyDescent="0.2">
      <c r="B50" s="7">
        <v>1</v>
      </c>
      <c r="C50" s="7">
        <v>10</v>
      </c>
      <c r="D50" s="7">
        <v>2</v>
      </c>
      <c r="E50" s="7" t="str">
        <f t="shared" si="10"/>
        <v>0x4682</v>
      </c>
      <c r="F50" s="7">
        <f t="shared" si="0"/>
        <v>18050</v>
      </c>
      <c r="G50" s="7" t="str">
        <f t="shared" si="11"/>
        <v>Warning</v>
      </c>
      <c r="H50" s="7" t="str">
        <f t="shared" si="12"/>
        <v>F10102</v>
      </c>
      <c r="I50" s="7" t="s">
        <v>108</v>
      </c>
      <c r="J50" s="13" t="s">
        <v>143</v>
      </c>
      <c r="K50" s="13" t="s">
        <v>144</v>
      </c>
    </row>
    <row r="51" spans="2:11" ht="22.5" x14ac:dyDescent="0.2">
      <c r="B51" s="7">
        <v>1</v>
      </c>
      <c r="C51" s="7">
        <v>10</v>
      </c>
      <c r="D51" s="7">
        <v>3</v>
      </c>
      <c r="E51" s="7" t="str">
        <f t="shared" si="10"/>
        <v>0x4683</v>
      </c>
      <c r="F51" s="7">
        <f t="shared" si="0"/>
        <v>18051</v>
      </c>
      <c r="G51" s="7" t="str">
        <f t="shared" si="11"/>
        <v>Warning</v>
      </c>
      <c r="H51" s="7" t="str">
        <f t="shared" si="12"/>
        <v>F10103</v>
      </c>
      <c r="I51" s="7" t="s">
        <v>266</v>
      </c>
      <c r="J51" s="13" t="s">
        <v>264</v>
      </c>
      <c r="K51" s="13" t="s">
        <v>180</v>
      </c>
    </row>
    <row r="52" spans="2:11" x14ac:dyDescent="0.2">
      <c r="B52" s="7">
        <v>1</v>
      </c>
      <c r="C52" s="7">
        <v>11</v>
      </c>
      <c r="D52" s="7">
        <v>1</v>
      </c>
      <c r="E52" s="7" t="str">
        <f t="shared" si="10"/>
        <v>0x46C1</v>
      </c>
      <c r="F52" s="7">
        <f t="shared" si="0"/>
        <v>18113</v>
      </c>
      <c r="G52" s="7" t="str">
        <f t="shared" si="11"/>
        <v>Warning</v>
      </c>
      <c r="H52" s="7" t="str">
        <f t="shared" si="12"/>
        <v>F11101</v>
      </c>
      <c r="I52" s="7" t="s">
        <v>301</v>
      </c>
      <c r="J52" s="12" t="s">
        <v>302</v>
      </c>
      <c r="K52" s="12" t="s">
        <v>303</v>
      </c>
    </row>
    <row r="53" spans="2:11" ht="22.5" x14ac:dyDescent="0.2">
      <c r="B53" s="7">
        <v>1</v>
      </c>
      <c r="C53" s="7">
        <v>11</v>
      </c>
      <c r="D53" s="7">
        <v>2</v>
      </c>
      <c r="E53" s="7" t="str">
        <f t="shared" si="10"/>
        <v>0x46C2</v>
      </c>
      <c r="F53" s="7">
        <f t="shared" si="0"/>
        <v>18114</v>
      </c>
      <c r="G53" s="7" t="str">
        <f t="shared" si="11"/>
        <v>Warning</v>
      </c>
      <c r="H53" s="7" t="str">
        <f t="shared" si="12"/>
        <v>F11102</v>
      </c>
      <c r="I53" s="7" t="s">
        <v>360</v>
      </c>
      <c r="J53" s="12" t="s">
        <v>361</v>
      </c>
      <c r="K53" s="12" t="s">
        <v>362</v>
      </c>
    </row>
    <row r="54" spans="2:11" ht="33.75" x14ac:dyDescent="0.2">
      <c r="B54" s="7">
        <v>1</v>
      </c>
      <c r="C54" s="7">
        <v>11</v>
      </c>
      <c r="D54" s="7">
        <v>3</v>
      </c>
      <c r="E54" s="7" t="str">
        <f t="shared" si="10"/>
        <v>0x46C3</v>
      </c>
      <c r="F54" s="7">
        <f t="shared" si="0"/>
        <v>18115</v>
      </c>
      <c r="G54" s="7" t="str">
        <f t="shared" si="11"/>
        <v>Warning</v>
      </c>
      <c r="H54" s="7" t="str">
        <f t="shared" si="12"/>
        <v>F11103</v>
      </c>
      <c r="I54" s="7" t="s">
        <v>382</v>
      </c>
      <c r="J54" s="12" t="s">
        <v>383</v>
      </c>
      <c r="K54" s="12" t="s">
        <v>384</v>
      </c>
    </row>
    <row r="55" spans="2:11" ht="33.75" x14ac:dyDescent="0.2">
      <c r="B55" s="7">
        <v>1</v>
      </c>
      <c r="C55" s="7">
        <v>11</v>
      </c>
      <c r="D55" s="7">
        <v>4</v>
      </c>
      <c r="E55" s="7" t="str">
        <f t="shared" si="10"/>
        <v>0x46C4</v>
      </c>
      <c r="F55" s="7">
        <f t="shared" si="0"/>
        <v>18116</v>
      </c>
      <c r="G55" s="7" t="str">
        <f t="shared" si="11"/>
        <v>Warning</v>
      </c>
      <c r="H55" s="7" t="str">
        <f t="shared" si="12"/>
        <v>F11104</v>
      </c>
      <c r="I55" s="7" t="s">
        <v>401</v>
      </c>
      <c r="J55" s="12" t="s">
        <v>442</v>
      </c>
      <c r="K55" s="12" t="s">
        <v>443</v>
      </c>
    </row>
    <row r="56" spans="2:11" ht="22.5" x14ac:dyDescent="0.2">
      <c r="B56" s="7">
        <v>1</v>
      </c>
      <c r="C56" s="7">
        <v>11</v>
      </c>
      <c r="D56" s="7">
        <v>5</v>
      </c>
      <c r="E56" s="7" t="str">
        <f t="shared" si="10"/>
        <v>0x46C5</v>
      </c>
      <c r="F56" s="7">
        <f t="shared" si="0"/>
        <v>18117</v>
      </c>
      <c r="G56" s="7" t="str">
        <f t="shared" si="11"/>
        <v>Warning</v>
      </c>
      <c r="H56" s="7" t="str">
        <f t="shared" si="12"/>
        <v>F11105</v>
      </c>
      <c r="I56" s="7" t="s">
        <v>427</v>
      </c>
      <c r="J56" s="12" t="s">
        <v>429</v>
      </c>
      <c r="K56" s="12" t="s">
        <v>428</v>
      </c>
    </row>
    <row r="57" spans="2:11" x14ac:dyDescent="0.2">
      <c r="B57" s="7">
        <v>1</v>
      </c>
      <c r="C57" s="7">
        <v>11</v>
      </c>
      <c r="D57" s="7">
        <v>6</v>
      </c>
      <c r="E57" s="7" t="str">
        <f t="shared" si="10"/>
        <v>0x46C6</v>
      </c>
      <c r="F57" s="7">
        <f t="shared" si="0"/>
        <v>18118</v>
      </c>
      <c r="G57" s="7" t="str">
        <f t="shared" si="11"/>
        <v>Warning</v>
      </c>
      <c r="H57" s="7" t="str">
        <f t="shared" si="12"/>
        <v>F11106</v>
      </c>
      <c r="I57" s="7" t="s">
        <v>437</v>
      </c>
      <c r="J57" s="12" t="s">
        <v>430</v>
      </c>
      <c r="K57" s="12" t="s">
        <v>438</v>
      </c>
    </row>
    <row r="58" spans="2:11" ht="22.5" x14ac:dyDescent="0.2">
      <c r="B58" s="7">
        <v>1</v>
      </c>
      <c r="C58" s="7">
        <v>12</v>
      </c>
      <c r="D58" s="7">
        <v>1</v>
      </c>
      <c r="E58" s="7" t="str">
        <f t="shared" si="10"/>
        <v>0x4701</v>
      </c>
      <c r="F58" s="7">
        <f t="shared" si="0"/>
        <v>18177</v>
      </c>
      <c r="G58" s="7" t="str">
        <f t="shared" si="11"/>
        <v>Warning</v>
      </c>
      <c r="H58" s="7" t="str">
        <f t="shared" si="12"/>
        <v>F12101</v>
      </c>
      <c r="I58" s="7" t="s">
        <v>287</v>
      </c>
      <c r="J58" s="12" t="s">
        <v>456</v>
      </c>
      <c r="K58" s="12" t="s">
        <v>288</v>
      </c>
    </row>
    <row r="59" spans="2:11" ht="22.5" x14ac:dyDescent="0.2">
      <c r="B59" s="7">
        <v>1</v>
      </c>
      <c r="C59" s="7">
        <v>13</v>
      </c>
      <c r="D59" s="7">
        <v>1</v>
      </c>
      <c r="E59" s="7" t="str">
        <f t="shared" si="10"/>
        <v>0x4741</v>
      </c>
      <c r="F59" s="7">
        <f t="shared" si="0"/>
        <v>18241</v>
      </c>
      <c r="G59" s="7" t="str">
        <f t="shared" si="11"/>
        <v>Warning</v>
      </c>
      <c r="H59" s="7" t="str">
        <f t="shared" si="12"/>
        <v>F13101</v>
      </c>
      <c r="I59" s="7" t="s">
        <v>363</v>
      </c>
      <c r="J59" s="12" t="s">
        <v>364</v>
      </c>
      <c r="K59" s="12"/>
    </row>
    <row r="60" spans="2:11" x14ac:dyDescent="0.2">
      <c r="B60" s="7">
        <v>1</v>
      </c>
      <c r="C60" s="7">
        <v>13</v>
      </c>
      <c r="D60" s="7">
        <v>2</v>
      </c>
      <c r="E60" s="7" t="str">
        <f t="shared" si="10"/>
        <v>0x4742</v>
      </c>
      <c r="F60" s="7">
        <f t="shared" si="0"/>
        <v>18242</v>
      </c>
      <c r="G60" s="7" t="str">
        <f t="shared" si="11"/>
        <v>Warning</v>
      </c>
      <c r="H60" s="7" t="str">
        <f t="shared" si="12"/>
        <v>F13102</v>
      </c>
      <c r="I60" s="7" t="s">
        <v>424</v>
      </c>
      <c r="J60" s="12" t="s">
        <v>425</v>
      </c>
      <c r="K60" s="12"/>
    </row>
    <row r="61" spans="2:11" ht="22.5" x14ac:dyDescent="0.2">
      <c r="B61" s="7">
        <v>1</v>
      </c>
      <c r="C61" s="7">
        <v>14</v>
      </c>
      <c r="D61" s="7">
        <v>1</v>
      </c>
      <c r="E61" s="7" t="str">
        <f t="shared" si="10"/>
        <v>0x4781</v>
      </c>
      <c r="F61" s="7">
        <f t="shared" si="0"/>
        <v>18305</v>
      </c>
      <c r="G61" s="7" t="str">
        <f>IF(B61=1,"Warning",IF(B61=2,"Drive Inhibit",IF(B61=3,"Severe",IF(B61=4,"Very Severe",IF(B61=5,"Return to Base","")))))</f>
        <v>Warning</v>
      </c>
      <c r="H61" s="7" t="str">
        <f>IF(B61="","",CONCATENATE("F",B61*10000+(IF(C61&lt;10,C61*10,(C61-10)*10+1)*100+D61)))</f>
        <v>F14101</v>
      </c>
      <c r="I61" s="7" t="s">
        <v>18</v>
      </c>
      <c r="J61" s="13" t="s">
        <v>145</v>
      </c>
      <c r="K61" s="13" t="s">
        <v>146</v>
      </c>
    </row>
    <row r="62" spans="2:11" x14ac:dyDescent="0.2">
      <c r="B62" s="7">
        <v>1</v>
      </c>
      <c r="C62" s="7">
        <v>14</v>
      </c>
      <c r="D62" s="7">
        <v>2</v>
      </c>
      <c r="E62" s="7" t="str">
        <f t="shared" si="10"/>
        <v>0x4782</v>
      </c>
      <c r="F62" s="7">
        <f t="shared" si="0"/>
        <v>18306</v>
      </c>
      <c r="G62" s="7" t="str">
        <f>IF(B62=1,"Warning",IF(B62=2,"Drive Inhibit",IF(B62=3,"Severe",IF(B62=4,"Very Severe",IF(B62=5,"Return to Base","")))))</f>
        <v>Warning</v>
      </c>
      <c r="H62" s="7" t="str">
        <f>IF(B62="","",CONCATENATE("F",B62*10000+(IF(C62&lt;10,C62*10,(C62-10)*10+1)*100+D62)))</f>
        <v>F14102</v>
      </c>
      <c r="I62" s="7" t="s">
        <v>319</v>
      </c>
      <c r="J62" s="13"/>
      <c r="K62" s="13"/>
    </row>
    <row r="63" spans="2:11" x14ac:dyDescent="0.2">
      <c r="B63" s="7">
        <v>1</v>
      </c>
      <c r="C63" s="7">
        <v>14</v>
      </c>
      <c r="D63" s="7">
        <v>3</v>
      </c>
      <c r="E63" s="7" t="str">
        <f t="shared" si="10"/>
        <v>0x4783</v>
      </c>
      <c r="F63" s="7">
        <f t="shared" si="0"/>
        <v>18307</v>
      </c>
      <c r="G63" s="7" t="str">
        <f>IF(B63=1,"Warning",IF(B63=2,"Drive Inhibit",IF(B63=3,"Severe",IF(B63=4,"Very Severe",IF(B63=5,"Return to Base","")))))</f>
        <v>Warning</v>
      </c>
      <c r="H63" s="7" t="str">
        <f>IF(B63="","",CONCATENATE("F",B63*10000+(IF(C63&lt;10,C63*10,(C63-10)*10+1)*100+D63)))</f>
        <v>F14103</v>
      </c>
      <c r="I63" s="7" t="s">
        <v>320</v>
      </c>
      <c r="J63" s="13"/>
      <c r="K63" s="13"/>
    </row>
    <row r="64" spans="2:11" ht="22.5" x14ac:dyDescent="0.2">
      <c r="B64" s="7">
        <v>1</v>
      </c>
      <c r="C64" s="7">
        <v>15</v>
      </c>
      <c r="D64" s="7">
        <v>1</v>
      </c>
      <c r="E64" s="7" t="str">
        <f t="shared" si="10"/>
        <v>0x47C1</v>
      </c>
      <c r="F64" s="7">
        <f t="shared" si="0"/>
        <v>18369</v>
      </c>
      <c r="G64" s="7" t="str">
        <f>IF(B64=1,"Warning",IF(B64=2,"Drive Inhibit",IF(B64=3,"Severe",IF(B64=4,"Very Severe",IF(B64=5,"Return to Base","")))))</f>
        <v>Warning</v>
      </c>
      <c r="H64" s="7" t="str">
        <f>IF(B64="","",CONCATENATE("F",B64*10000+(IF(C64&lt;10,C64*10,(C64-10)*10+1)*100+D64)))</f>
        <v>F15101</v>
      </c>
      <c r="I64" s="7" t="s">
        <v>19</v>
      </c>
      <c r="J64" s="13" t="s">
        <v>151</v>
      </c>
      <c r="K64" s="13" t="s">
        <v>152</v>
      </c>
    </row>
    <row r="65" spans="2:11" ht="0.75" customHeight="1" x14ac:dyDescent="0.2">
      <c r="B65" s="7"/>
      <c r="C65" s="7"/>
      <c r="D65" s="7"/>
      <c r="E65" s="7" t="str">
        <f t="shared" si="10"/>
        <v/>
      </c>
      <c r="F65" s="7">
        <f t="shared" si="0"/>
        <v>0</v>
      </c>
      <c r="G65" s="7" t="str">
        <f>IF(B65=1,"Warning",IF(B65=2,"Drive Inhibit",IF(B65=3,"Severe",IF(B65=4,"Very Severe",IF(B65=5,"Return to Base","")))))</f>
        <v/>
      </c>
      <c r="H65" s="7" t="str">
        <f>IF(B65="","",CONCATENATE("F",B65*10000+(IF(C65&lt;10,C65*10,(C65-10)*10+1)*100+D65)))</f>
        <v/>
      </c>
      <c r="I65" s="7"/>
      <c r="J65" s="12"/>
      <c r="K65" s="12"/>
    </row>
    <row r="66" spans="2:11" ht="0.75" customHeight="1" x14ac:dyDescent="0.2">
      <c r="B66" s="7"/>
      <c r="C66" s="7"/>
      <c r="D66" s="7"/>
      <c r="E66" s="7"/>
      <c r="F66" s="7">
        <f t="shared" si="0"/>
        <v>0</v>
      </c>
      <c r="G66" s="7"/>
      <c r="H66" s="7"/>
      <c r="I66" s="7"/>
      <c r="J66" s="12"/>
      <c r="K66" s="12"/>
    </row>
    <row r="67" spans="2:11" ht="22.5" x14ac:dyDescent="0.2">
      <c r="B67" s="7">
        <v>2</v>
      </c>
      <c r="C67" s="7">
        <v>2</v>
      </c>
      <c r="D67" s="7">
        <v>1</v>
      </c>
      <c r="E67" s="7" t="str">
        <f t="shared" si="10"/>
        <v>0x4881</v>
      </c>
      <c r="F67" s="7">
        <f t="shared" si="0"/>
        <v>18561</v>
      </c>
      <c r="G67" s="7" t="str">
        <f>IF(B67=1,"Warning",IF(B67=2,"Drive Inhibit",IF(B67=3,"Severe",IF(B67=4,"Very Severe",IF(B67=5,"Return to Base","")))))</f>
        <v>Drive Inhibit</v>
      </c>
      <c r="H67" s="7" t="str">
        <f>IF(B67="","",CONCATENATE("F",B67*10000+(IF(C67&lt;10,C67*10,(C67-10)*10+1)*100+D67)))</f>
        <v>F22001</v>
      </c>
      <c r="I67" s="7" t="s">
        <v>20</v>
      </c>
      <c r="J67" s="13" t="s">
        <v>153</v>
      </c>
      <c r="K67" s="13" t="s">
        <v>154</v>
      </c>
    </row>
    <row r="68" spans="2:11" ht="22.5" x14ac:dyDescent="0.2">
      <c r="B68" s="7">
        <v>2</v>
      </c>
      <c r="C68" s="7">
        <v>2</v>
      </c>
      <c r="D68" s="7">
        <v>2</v>
      </c>
      <c r="E68" s="7" t="str">
        <f t="shared" si="10"/>
        <v>0x4882</v>
      </c>
      <c r="F68" s="7">
        <f t="shared" si="0"/>
        <v>18562</v>
      </c>
      <c r="G68" s="7" t="str">
        <f>IF(B68=1,"Warning",IF(B68=2,"Drive Inhibit",IF(B68=3,"Severe",IF(B68=4,"Very Severe",IF(B68=5,"Return to Base","")))))</f>
        <v>Drive Inhibit</v>
      </c>
      <c r="H68" s="7" t="str">
        <f>IF(B68="","",CONCATENATE("F",B68*10000+(IF(C68&lt;10,C68*10,(C68-10)*10+1)*100+D68)))</f>
        <v>F22002</v>
      </c>
      <c r="I68" s="7" t="s">
        <v>21</v>
      </c>
      <c r="J68" s="13" t="s">
        <v>155</v>
      </c>
      <c r="K68" s="13" t="s">
        <v>156</v>
      </c>
    </row>
    <row r="69" spans="2:11" ht="22.5" x14ac:dyDescent="0.2">
      <c r="B69" s="7">
        <v>2</v>
      </c>
      <c r="C69" s="7">
        <v>2</v>
      </c>
      <c r="D69" s="7">
        <v>3</v>
      </c>
      <c r="E69" s="7" t="str">
        <f t="shared" si="10"/>
        <v>0x4883</v>
      </c>
      <c r="F69" s="7">
        <f t="shared" si="0"/>
        <v>18563</v>
      </c>
      <c r="G69" s="7" t="str">
        <f>IF(B69=1,"Warning",IF(B69=2,"Drive Inhibit",IF(B69=3,"Severe",IF(B69=4,"Very Severe",IF(B69=5,"Return to Base","")))))</f>
        <v>Drive Inhibit</v>
      </c>
      <c r="H69" s="7" t="str">
        <f>IF(B69="","",CONCATENATE("F",B69*10000+(IF(C69&lt;10,C69*10,(C69-10)*10+1)*100+D69)))</f>
        <v>F22003</v>
      </c>
      <c r="I69" s="7" t="s">
        <v>22</v>
      </c>
      <c r="J69" s="13" t="s">
        <v>157</v>
      </c>
      <c r="K69" s="13" t="s">
        <v>158</v>
      </c>
    </row>
    <row r="70" spans="2:11" x14ac:dyDescent="0.2">
      <c r="B70" s="7">
        <v>2</v>
      </c>
      <c r="C70" s="7">
        <v>2</v>
      </c>
      <c r="D70" s="7">
        <v>4</v>
      </c>
      <c r="E70" s="7" t="str">
        <f t="shared" si="10"/>
        <v>0x4884</v>
      </c>
      <c r="F70" s="7">
        <f t="shared" si="0"/>
        <v>18564</v>
      </c>
      <c r="G70" s="7" t="str">
        <f>IF(B70=1,"Warning",IF(B70=2,"Drive Inhibit",IF(B70=3,"Severe",IF(B70=4,"Very Severe",IF(B70=5,"Return to Base","")))))</f>
        <v>Drive Inhibit</v>
      </c>
      <c r="H70" s="7" t="str">
        <f>IF(B70="","",CONCATENATE("F",B70*10000+(IF(C70&lt;10,C70*10,(C70-10)*10+1)*100+D70)))</f>
        <v>F22004</v>
      </c>
      <c r="I70" s="7" t="s">
        <v>23</v>
      </c>
      <c r="J70" s="13" t="s">
        <v>159</v>
      </c>
      <c r="K70" s="13" t="s">
        <v>160</v>
      </c>
    </row>
    <row r="71" spans="2:11" ht="22.5" x14ac:dyDescent="0.2">
      <c r="B71" s="7">
        <v>2</v>
      </c>
      <c r="C71" s="7">
        <v>2</v>
      </c>
      <c r="D71" s="7">
        <v>5</v>
      </c>
      <c r="E71" s="7" t="str">
        <f t="shared" si="10"/>
        <v>0x4885</v>
      </c>
      <c r="F71" s="7">
        <f t="shared" ref="F71:F134" si="13">HEX2DEC(RIGHT(E71,4))</f>
        <v>18565</v>
      </c>
      <c r="G71" s="7" t="str">
        <f>IF(B71=1,"Warning",IF(B71=2,"Drive Inhibit",IF(B71=3,"Severe",IF(B71=4,"Very Severe",IF(B71=5,"Return to Base","")))))</f>
        <v>Drive Inhibit</v>
      </c>
      <c r="H71" s="7" t="str">
        <f>IF(B71="","",CONCATENATE("F",B71*10000+(IF(C71&lt;10,C71*10,(C71-10)*10+1)*100+D71)))</f>
        <v>F22005</v>
      </c>
      <c r="I71" s="7" t="s">
        <v>24</v>
      </c>
      <c r="J71" s="13" t="s">
        <v>161</v>
      </c>
      <c r="K71" s="13" t="s">
        <v>158</v>
      </c>
    </row>
    <row r="72" spans="2:11" ht="33.75" x14ac:dyDescent="0.2">
      <c r="B72" s="7">
        <v>2</v>
      </c>
      <c r="C72" s="7">
        <v>2</v>
      </c>
      <c r="D72" s="7">
        <v>6</v>
      </c>
      <c r="E72" s="7" t="str">
        <f t="shared" ref="E72:E81" si="14">IF(B72="","",CONCATENATE("0x",DEC2HEX(16384+(B72*1024)+(C72*64)+D72)))</f>
        <v>0x4886</v>
      </c>
      <c r="F72" s="7">
        <f t="shared" si="13"/>
        <v>18566</v>
      </c>
      <c r="G72" s="7" t="str">
        <f t="shared" ref="G72:G81" si="15">IF(B72=1,"Warning",IF(B72=2,"Drive Inhibit",IF(B72=3,"Severe",IF(B72=4,"Very Severe",IF(B72=5,"Return to Base","")))))</f>
        <v>Drive Inhibit</v>
      </c>
      <c r="H72" s="7" t="str">
        <f t="shared" ref="H72:H81" si="16">IF(B72="","",CONCATENATE("F",B72*10000+(IF(C72&lt;10,C72*10,(C72-10)*10+1)*100+D72)))</f>
        <v>F22006</v>
      </c>
      <c r="I72" s="7" t="s">
        <v>112</v>
      </c>
      <c r="J72" s="13" t="s">
        <v>162</v>
      </c>
      <c r="K72" s="12"/>
    </row>
    <row r="73" spans="2:11" x14ac:dyDescent="0.2">
      <c r="B73" s="7">
        <v>2</v>
      </c>
      <c r="C73" s="7">
        <v>2</v>
      </c>
      <c r="D73" s="7">
        <v>7</v>
      </c>
      <c r="E73" s="7" t="str">
        <f t="shared" si="14"/>
        <v>0x4887</v>
      </c>
      <c r="F73" s="7">
        <f t="shared" si="13"/>
        <v>18567</v>
      </c>
      <c r="G73" s="7" t="str">
        <f t="shared" si="15"/>
        <v>Drive Inhibit</v>
      </c>
      <c r="H73" s="7" t="str">
        <f t="shared" si="16"/>
        <v>F22007</v>
      </c>
      <c r="I73" s="7" t="s">
        <v>113</v>
      </c>
      <c r="J73" s="13" t="s">
        <v>163</v>
      </c>
      <c r="K73" s="13" t="s">
        <v>164</v>
      </c>
    </row>
    <row r="74" spans="2:11" x14ac:dyDescent="0.2">
      <c r="B74" s="7">
        <v>2</v>
      </c>
      <c r="C74" s="7">
        <v>2</v>
      </c>
      <c r="D74" s="7">
        <v>8</v>
      </c>
      <c r="E74" s="7" t="str">
        <f t="shared" si="14"/>
        <v>0x4888</v>
      </c>
      <c r="F74" s="7">
        <f t="shared" si="13"/>
        <v>18568</v>
      </c>
      <c r="G74" s="7" t="str">
        <f t="shared" si="15"/>
        <v>Drive Inhibit</v>
      </c>
      <c r="H74" s="7" t="str">
        <f t="shared" si="16"/>
        <v>F22008</v>
      </c>
      <c r="I74" s="7" t="s">
        <v>114</v>
      </c>
      <c r="J74" s="13" t="s">
        <v>165</v>
      </c>
      <c r="K74" s="13" t="s">
        <v>166</v>
      </c>
    </row>
    <row r="75" spans="2:11" x14ac:dyDescent="0.2">
      <c r="B75" s="7">
        <v>2</v>
      </c>
      <c r="C75" s="7">
        <v>2</v>
      </c>
      <c r="D75" s="7">
        <v>9</v>
      </c>
      <c r="E75" s="7" t="str">
        <f t="shared" si="14"/>
        <v>0x4889</v>
      </c>
      <c r="F75" s="7">
        <f t="shared" si="13"/>
        <v>18569</v>
      </c>
      <c r="G75" s="7" t="str">
        <f t="shared" si="15"/>
        <v>Drive Inhibit</v>
      </c>
      <c r="H75" s="7" t="str">
        <f t="shared" si="16"/>
        <v>F22009</v>
      </c>
      <c r="I75" s="7" t="s">
        <v>115</v>
      </c>
      <c r="J75" s="13" t="s">
        <v>167</v>
      </c>
      <c r="K75" s="13" t="s">
        <v>168</v>
      </c>
    </row>
    <row r="76" spans="2:11" ht="22.5" x14ac:dyDescent="0.2">
      <c r="B76" s="7">
        <v>2</v>
      </c>
      <c r="C76" s="7">
        <v>2</v>
      </c>
      <c r="D76" s="7">
        <v>10</v>
      </c>
      <c r="E76" s="7" t="str">
        <f t="shared" si="14"/>
        <v>0x488A</v>
      </c>
      <c r="F76" s="7">
        <f t="shared" si="13"/>
        <v>18570</v>
      </c>
      <c r="G76" s="7" t="str">
        <f t="shared" si="15"/>
        <v>Drive Inhibit</v>
      </c>
      <c r="H76" s="7" t="str">
        <f t="shared" si="16"/>
        <v>F22010</v>
      </c>
      <c r="I76" s="7" t="s">
        <v>116</v>
      </c>
      <c r="J76" s="13" t="s">
        <v>169</v>
      </c>
      <c r="K76" s="13" t="s">
        <v>170</v>
      </c>
    </row>
    <row r="77" spans="2:11" ht="22.5" x14ac:dyDescent="0.2">
      <c r="B77" s="7">
        <v>2</v>
      </c>
      <c r="C77" s="7">
        <v>2</v>
      </c>
      <c r="D77" s="7">
        <v>11</v>
      </c>
      <c r="E77" s="7" t="str">
        <f t="shared" si="14"/>
        <v>0x488B</v>
      </c>
      <c r="F77" s="7">
        <f t="shared" si="13"/>
        <v>18571</v>
      </c>
      <c r="G77" s="7" t="str">
        <f t="shared" si="15"/>
        <v>Drive Inhibit</v>
      </c>
      <c r="H77" s="7" t="str">
        <f t="shared" si="16"/>
        <v>F22011</v>
      </c>
      <c r="I77" s="7" t="s">
        <v>117</v>
      </c>
      <c r="J77" s="13" t="s">
        <v>171</v>
      </c>
      <c r="K77" s="13" t="s">
        <v>160</v>
      </c>
    </row>
    <row r="78" spans="2:11" x14ac:dyDescent="0.2">
      <c r="B78" s="7">
        <v>2</v>
      </c>
      <c r="C78" s="7">
        <v>2</v>
      </c>
      <c r="D78" s="7">
        <v>12</v>
      </c>
      <c r="E78" s="7" t="str">
        <f t="shared" si="14"/>
        <v>0x488C</v>
      </c>
      <c r="F78" s="7">
        <f t="shared" si="13"/>
        <v>18572</v>
      </c>
      <c r="G78" s="7" t="str">
        <f t="shared" si="15"/>
        <v>Drive Inhibit</v>
      </c>
      <c r="H78" s="7" t="str">
        <f t="shared" si="16"/>
        <v>F22012</v>
      </c>
      <c r="I78" s="7" t="s">
        <v>118</v>
      </c>
      <c r="J78" s="13" t="s">
        <v>172</v>
      </c>
      <c r="K78" s="13" t="s">
        <v>173</v>
      </c>
    </row>
    <row r="79" spans="2:11" x14ac:dyDescent="0.2">
      <c r="B79" s="7">
        <v>2</v>
      </c>
      <c r="C79" s="7">
        <v>2</v>
      </c>
      <c r="D79" s="7">
        <v>13</v>
      </c>
      <c r="E79" s="7" t="str">
        <f t="shared" si="14"/>
        <v>0x488D</v>
      </c>
      <c r="F79" s="7">
        <f t="shared" si="13"/>
        <v>18573</v>
      </c>
      <c r="G79" s="7" t="str">
        <f t="shared" si="15"/>
        <v>Drive Inhibit</v>
      </c>
      <c r="H79" s="7" t="str">
        <f t="shared" si="16"/>
        <v>F22013</v>
      </c>
      <c r="I79" s="7" t="s">
        <v>121</v>
      </c>
      <c r="J79" s="13" t="s">
        <v>174</v>
      </c>
      <c r="K79" s="13" t="s">
        <v>175</v>
      </c>
    </row>
    <row r="80" spans="2:11" x14ac:dyDescent="0.2">
      <c r="B80" s="7">
        <v>2</v>
      </c>
      <c r="C80" s="7">
        <v>2</v>
      </c>
      <c r="D80" s="7">
        <v>14</v>
      </c>
      <c r="E80" s="7" t="str">
        <f t="shared" si="14"/>
        <v>0x488E</v>
      </c>
      <c r="F80" s="7">
        <f t="shared" si="13"/>
        <v>18574</v>
      </c>
      <c r="G80" s="7" t="str">
        <f t="shared" si="15"/>
        <v>Drive Inhibit</v>
      </c>
      <c r="H80" s="7" t="str">
        <f t="shared" si="16"/>
        <v>F22014</v>
      </c>
      <c r="I80" s="7" t="s">
        <v>281</v>
      </c>
      <c r="J80" s="12" t="s">
        <v>282</v>
      </c>
      <c r="K80" s="12" t="s">
        <v>283</v>
      </c>
    </row>
    <row r="81" spans="2:11" x14ac:dyDescent="0.2">
      <c r="B81" s="7">
        <v>2</v>
      </c>
      <c r="C81" s="7">
        <v>2</v>
      </c>
      <c r="D81" s="7">
        <v>15</v>
      </c>
      <c r="E81" s="7" t="str">
        <f t="shared" si="14"/>
        <v>0x488F</v>
      </c>
      <c r="F81" s="7">
        <f t="shared" si="13"/>
        <v>18575</v>
      </c>
      <c r="G81" s="7" t="str">
        <f t="shared" si="15"/>
        <v>Drive Inhibit</v>
      </c>
      <c r="H81" s="7" t="str">
        <f t="shared" si="16"/>
        <v>F22015</v>
      </c>
      <c r="I81" s="7" t="s">
        <v>451</v>
      </c>
      <c r="J81" s="12" t="s">
        <v>447</v>
      </c>
      <c r="K81" s="12"/>
    </row>
    <row r="82" spans="2:11" x14ac:dyDescent="0.2">
      <c r="B82" s="7">
        <v>2</v>
      </c>
      <c r="C82" s="7">
        <v>5</v>
      </c>
      <c r="D82" s="7">
        <v>1</v>
      </c>
      <c r="E82" s="7" t="str">
        <f t="shared" ref="E82:E113" si="17">IF(B82="","",CONCATENATE("0x",DEC2HEX(16384+(B82*1024)+(C82*64)+D82)))</f>
        <v>0x4941</v>
      </c>
      <c r="F82" s="7">
        <f t="shared" si="13"/>
        <v>18753</v>
      </c>
      <c r="G82" s="7" t="str">
        <f>IF(B82=1,"Warning",IF(B82=2,"Drive Inhibit",IF(B82=3,"Severe",IF(B82=4,"Very Severe",IF(B82=5,"Return to Base","")))))</f>
        <v>Drive Inhibit</v>
      </c>
      <c r="H82" s="7" t="str">
        <f>IF(B82="","",CONCATENATE("F",B82*10000+(IF(C82&lt;10,C82*10,(C82-10)*10+1)*100+D82)))</f>
        <v>F25001</v>
      </c>
      <c r="I82" s="7" t="s">
        <v>356</v>
      </c>
      <c r="J82" s="13"/>
      <c r="K82" s="12"/>
    </row>
    <row r="83" spans="2:11" x14ac:dyDescent="0.2">
      <c r="B83" s="7">
        <v>2</v>
      </c>
      <c r="C83" s="7">
        <v>5</v>
      </c>
      <c r="D83" s="7">
        <v>2</v>
      </c>
      <c r="E83" s="7" t="str">
        <f>IF(B83="","",CONCATENATE("0x",DEC2HEX(16384+(B83*1024)+(C83*64)+D83)))</f>
        <v>0x4942</v>
      </c>
      <c r="F83" s="7">
        <f t="shared" si="13"/>
        <v>18754</v>
      </c>
      <c r="G83" s="7" t="str">
        <f t="shared" ref="G83:G92" si="18">IF(B83=1,"Warning",IF(B83=2,"Drive Inhibit",IF(B83=3,"Severe",IF(B83=4,"Very Severe",IF(B83=5,"Return to Base","")))))</f>
        <v>Drive Inhibit</v>
      </c>
      <c r="H83" s="7" t="str">
        <f t="shared" ref="H83:H92" si="19">IF(B83="","",CONCATENATE("F",B83*10000+(IF(C83&lt;10,C83*10,(C83-10)*10+1)*100+D83)))</f>
        <v>F25002</v>
      </c>
      <c r="I83" s="7" t="s">
        <v>304</v>
      </c>
      <c r="J83" s="12" t="s">
        <v>305</v>
      </c>
      <c r="K83" s="12" t="s">
        <v>306</v>
      </c>
    </row>
    <row r="84" spans="2:11" x14ac:dyDescent="0.2">
      <c r="B84" s="7">
        <v>2</v>
      </c>
      <c r="C84" s="7">
        <v>6</v>
      </c>
      <c r="D84" s="7">
        <v>1</v>
      </c>
      <c r="E84" s="7" t="str">
        <f t="shared" si="17"/>
        <v>0x4981</v>
      </c>
      <c r="F84" s="7">
        <f t="shared" si="13"/>
        <v>18817</v>
      </c>
      <c r="G84" s="7" t="str">
        <f t="shared" si="18"/>
        <v>Drive Inhibit</v>
      </c>
      <c r="H84" s="7" t="str">
        <f t="shared" si="19"/>
        <v>F26001</v>
      </c>
      <c r="I84" s="7" t="s">
        <v>26</v>
      </c>
      <c r="J84" s="13" t="s">
        <v>177</v>
      </c>
      <c r="K84" s="13" t="s">
        <v>178</v>
      </c>
    </row>
    <row r="85" spans="2:11" ht="22.5" x14ac:dyDescent="0.2">
      <c r="B85" s="7">
        <v>2</v>
      </c>
      <c r="C85" s="7">
        <v>6</v>
      </c>
      <c r="D85" s="7">
        <v>2</v>
      </c>
      <c r="E85" s="7" t="str">
        <f t="shared" si="17"/>
        <v>0x4982</v>
      </c>
      <c r="F85" s="7">
        <f t="shared" si="13"/>
        <v>18818</v>
      </c>
      <c r="G85" s="7" t="str">
        <f t="shared" si="18"/>
        <v>Drive Inhibit</v>
      </c>
      <c r="H85" s="7" t="str">
        <f t="shared" si="19"/>
        <v>F26002</v>
      </c>
      <c r="I85" s="7" t="s">
        <v>390</v>
      </c>
      <c r="J85" s="12" t="s">
        <v>391</v>
      </c>
      <c r="K85" s="12" t="s">
        <v>392</v>
      </c>
    </row>
    <row r="86" spans="2:11" ht="22.5" x14ac:dyDescent="0.2">
      <c r="B86" s="7">
        <v>2</v>
      </c>
      <c r="C86" s="7">
        <v>6</v>
      </c>
      <c r="D86" s="7">
        <v>3</v>
      </c>
      <c r="E86" s="7" t="str">
        <f>IF(B86="","",CONCATENATE("0x",DEC2HEX(16384+(B86*1024)+(C86*64)+D86)))</f>
        <v>0x4983</v>
      </c>
      <c r="F86" s="7">
        <f t="shared" si="13"/>
        <v>18819</v>
      </c>
      <c r="G86" s="7" t="str">
        <f t="shared" si="18"/>
        <v>Drive Inhibit</v>
      </c>
      <c r="H86" s="7" t="str">
        <f t="shared" si="19"/>
        <v>F26003</v>
      </c>
      <c r="I86" s="7" t="s">
        <v>396</v>
      </c>
      <c r="J86" s="12" t="s">
        <v>397</v>
      </c>
      <c r="K86" s="12" t="s">
        <v>398</v>
      </c>
    </row>
    <row r="87" spans="2:11" ht="22.5" x14ac:dyDescent="0.2">
      <c r="B87" s="7">
        <v>2</v>
      </c>
      <c r="C87" s="7">
        <v>7</v>
      </c>
      <c r="D87" s="7">
        <v>2</v>
      </c>
      <c r="E87" s="7" t="str">
        <f>IF(B87="","",CONCATENATE("0x",DEC2HEX(16384+(B87*1024)+(C87*64)+D87)))</f>
        <v>0x49C2</v>
      </c>
      <c r="F87" s="7">
        <f t="shared" si="13"/>
        <v>18882</v>
      </c>
      <c r="G87" s="7" t="str">
        <f t="shared" si="18"/>
        <v>Drive Inhibit</v>
      </c>
      <c r="H87" s="7" t="str">
        <f t="shared" si="19"/>
        <v>F27002</v>
      </c>
      <c r="I87" s="7" t="s">
        <v>255</v>
      </c>
      <c r="J87" s="13" t="s">
        <v>256</v>
      </c>
      <c r="K87" s="13" t="s">
        <v>179</v>
      </c>
    </row>
    <row r="88" spans="2:11" ht="22.5" x14ac:dyDescent="0.2">
      <c r="B88" s="7">
        <v>2</v>
      </c>
      <c r="C88" s="7">
        <v>8</v>
      </c>
      <c r="D88" s="7">
        <v>1</v>
      </c>
      <c r="E88" s="7" t="str">
        <f>IF(B88="","",CONCATENATE("0x",DEC2HEX(16384+(B88*1024)+(C88*64)+D88)))</f>
        <v>0x4A01</v>
      </c>
      <c r="F88" s="7">
        <f t="shared" si="13"/>
        <v>18945</v>
      </c>
      <c r="G88" s="7" t="str">
        <f t="shared" si="18"/>
        <v>Drive Inhibit</v>
      </c>
      <c r="H88" s="7" t="str">
        <f t="shared" si="19"/>
        <v>F28001</v>
      </c>
      <c r="I88" s="7" t="s">
        <v>257</v>
      </c>
      <c r="J88" s="13" t="s">
        <v>258</v>
      </c>
      <c r="K88" s="13" t="s">
        <v>179</v>
      </c>
    </row>
    <row r="89" spans="2:11" ht="22.5" x14ac:dyDescent="0.2">
      <c r="B89" s="7">
        <v>2</v>
      </c>
      <c r="C89" s="7">
        <v>10</v>
      </c>
      <c r="D89" s="7">
        <v>1</v>
      </c>
      <c r="E89" s="7" t="str">
        <f t="shared" si="17"/>
        <v>0x4A81</v>
      </c>
      <c r="F89" s="7">
        <f t="shared" si="13"/>
        <v>19073</v>
      </c>
      <c r="G89" s="7" t="str">
        <f t="shared" si="18"/>
        <v>Drive Inhibit</v>
      </c>
      <c r="H89" s="7" t="str">
        <f t="shared" si="19"/>
        <v>F20101</v>
      </c>
      <c r="I89" s="7" t="s">
        <v>265</v>
      </c>
      <c r="J89" s="13" t="s">
        <v>264</v>
      </c>
      <c r="K89" s="13" t="s">
        <v>180</v>
      </c>
    </row>
    <row r="90" spans="2:11" ht="45" x14ac:dyDescent="0.2">
      <c r="B90" s="7">
        <v>2</v>
      </c>
      <c r="C90" s="7">
        <v>12</v>
      </c>
      <c r="D90" s="7">
        <v>1</v>
      </c>
      <c r="E90" s="7" t="str">
        <f t="shared" si="17"/>
        <v>0x4B01</v>
      </c>
      <c r="F90" s="7">
        <f t="shared" si="13"/>
        <v>19201</v>
      </c>
      <c r="G90" s="7" t="str">
        <f t="shared" si="18"/>
        <v>Drive Inhibit</v>
      </c>
      <c r="H90" s="7" t="str">
        <f t="shared" si="19"/>
        <v>F22101</v>
      </c>
      <c r="I90" s="7" t="s">
        <v>119</v>
      </c>
      <c r="J90" s="13" t="s">
        <v>181</v>
      </c>
      <c r="K90" s="13" t="s">
        <v>182</v>
      </c>
    </row>
    <row r="91" spans="2:11" ht="22.5" x14ac:dyDescent="0.2">
      <c r="B91" s="7">
        <v>2</v>
      </c>
      <c r="C91" s="7">
        <v>12</v>
      </c>
      <c r="D91" s="7">
        <v>2</v>
      </c>
      <c r="E91" s="7" t="str">
        <f t="shared" si="17"/>
        <v>0x4B02</v>
      </c>
      <c r="F91" s="7">
        <f t="shared" si="13"/>
        <v>19202</v>
      </c>
      <c r="G91" s="7" t="str">
        <f t="shared" si="18"/>
        <v>Drive Inhibit</v>
      </c>
      <c r="H91" s="7" t="str">
        <f t="shared" si="19"/>
        <v>F22102</v>
      </c>
      <c r="I91" s="7" t="s">
        <v>289</v>
      </c>
      <c r="J91" s="12" t="s">
        <v>457</v>
      </c>
      <c r="K91" s="12" t="s">
        <v>279</v>
      </c>
    </row>
    <row r="92" spans="2:11" ht="22.5" x14ac:dyDescent="0.2">
      <c r="B92" s="7">
        <v>2</v>
      </c>
      <c r="C92" s="7">
        <v>12</v>
      </c>
      <c r="D92" s="7">
        <v>3</v>
      </c>
      <c r="E92" s="7" t="str">
        <f t="shared" si="17"/>
        <v>0x4B03</v>
      </c>
      <c r="F92" s="7">
        <f t="shared" si="13"/>
        <v>19203</v>
      </c>
      <c r="G92" s="7" t="str">
        <f t="shared" si="18"/>
        <v>Drive Inhibit</v>
      </c>
      <c r="H92" s="7" t="str">
        <f t="shared" si="19"/>
        <v>F22103</v>
      </c>
      <c r="I92" s="7" t="s">
        <v>412</v>
      </c>
      <c r="J92" s="12" t="s">
        <v>413</v>
      </c>
      <c r="K92" s="12" t="s">
        <v>414</v>
      </c>
    </row>
    <row r="93" spans="2:11" ht="22.5" x14ac:dyDescent="0.2">
      <c r="B93" s="7">
        <v>2</v>
      </c>
      <c r="C93" s="7">
        <v>14</v>
      </c>
      <c r="D93" s="7">
        <v>1</v>
      </c>
      <c r="E93" s="7" t="str">
        <f>IF(B93="","",CONCATENATE("0x",DEC2HEX(16384+(B93*1024)+(C93*64)+D93)))</f>
        <v>0x4B81</v>
      </c>
      <c r="F93" s="7">
        <f t="shared" si="13"/>
        <v>19329</v>
      </c>
      <c r="G93" s="7" t="str">
        <f>IF(B93=1,"Warning",IF(B93=2,"Drive Inhibit",IF(B93=3,"Severe",IF(B93=4,"Very Severe",IF(B93=5,"Return to Base","")))))</f>
        <v>Drive Inhibit</v>
      </c>
      <c r="H93" s="7" t="str">
        <f>IF(B93="","",CONCATENATE("F",B93*10000+(IF(C93&lt;10,C93*10,(C93-10)*10+1)*100+D93)))</f>
        <v>F24101</v>
      </c>
      <c r="I93" s="7" t="s">
        <v>27</v>
      </c>
      <c r="J93" s="13" t="s">
        <v>147</v>
      </c>
      <c r="K93" s="13" t="s">
        <v>146</v>
      </c>
    </row>
    <row r="94" spans="2:11" x14ac:dyDescent="0.2">
      <c r="B94" s="7">
        <v>2</v>
      </c>
      <c r="C94" s="7">
        <v>14</v>
      </c>
      <c r="D94" s="7">
        <v>3</v>
      </c>
      <c r="E94" s="7" t="str">
        <f>IF(B94="","",CONCATENATE("0x",DEC2HEX(16384+(B94*1024)+(C94*64)+D94)))</f>
        <v>0x4B83</v>
      </c>
      <c r="F94" s="7">
        <f t="shared" si="13"/>
        <v>19331</v>
      </c>
      <c r="G94" s="7" t="str">
        <f>IF(B94=1,"Warning",IF(B94=2,"Drive Inhibit",IF(B94=3,"Severe",IF(B94=4,"Very Severe",IF(B94=5,"Return to Base","")))))</f>
        <v>Drive Inhibit</v>
      </c>
      <c r="H94" s="7" t="str">
        <f>IF(B94="","",CONCATENATE("F",B94*10000+(IF(C94&lt;10,C94*10,(C94-10)*10+1)*100+D94)))</f>
        <v>F24103</v>
      </c>
      <c r="I94" s="7" t="s">
        <v>452</v>
      </c>
      <c r="J94" s="12" t="s">
        <v>453</v>
      </c>
      <c r="K94" s="13"/>
    </row>
    <row r="95" spans="2:11" ht="1.1499999999999999" customHeight="1" x14ac:dyDescent="0.2">
      <c r="B95" s="7"/>
      <c r="C95" s="7"/>
      <c r="D95" s="7"/>
      <c r="E95" s="7" t="str">
        <f t="shared" si="17"/>
        <v/>
      </c>
      <c r="F95" s="7">
        <f t="shared" si="13"/>
        <v>0</v>
      </c>
      <c r="G95" s="7" t="str">
        <f t="shared" ref="G95:G101" si="20">IF(B95=1,"Warning",IF(B95=2,"Drive Inhibit",IF(B95=3,"Severe",IF(B95=4,"Very Severe",IF(B95=5,"Return to Base","")))))</f>
        <v/>
      </c>
      <c r="H95" s="7" t="str">
        <f t="shared" ref="H95:H101" si="21">IF(B95="","",CONCATENATE("F",B95*10000+(IF(C95&lt;10,C95*10,(C95-10)*10+1)*100+D95)))</f>
        <v/>
      </c>
      <c r="I95" s="7"/>
      <c r="J95" s="12"/>
      <c r="K95" s="12"/>
    </row>
    <row r="96" spans="2:11" ht="22.5" x14ac:dyDescent="0.2">
      <c r="B96" s="7">
        <v>3</v>
      </c>
      <c r="C96" s="7">
        <v>1</v>
      </c>
      <c r="D96" s="7">
        <v>1</v>
      </c>
      <c r="E96" s="7" t="str">
        <f t="shared" si="17"/>
        <v>0x4C41</v>
      </c>
      <c r="F96" s="7">
        <f t="shared" si="13"/>
        <v>19521</v>
      </c>
      <c r="G96" s="7" t="str">
        <f t="shared" si="20"/>
        <v>Severe</v>
      </c>
      <c r="H96" s="7" t="str">
        <f t="shared" si="21"/>
        <v>F31001</v>
      </c>
      <c r="I96" s="7" t="s">
        <v>28</v>
      </c>
      <c r="J96" s="13" t="s">
        <v>183</v>
      </c>
      <c r="K96" s="13" t="s">
        <v>184</v>
      </c>
    </row>
    <row r="97" spans="2:11" ht="22.5" x14ac:dyDescent="0.2">
      <c r="B97" s="7">
        <v>3</v>
      </c>
      <c r="C97" s="7">
        <v>2</v>
      </c>
      <c r="D97" s="7">
        <v>1</v>
      </c>
      <c r="E97" s="7" t="str">
        <f t="shared" si="17"/>
        <v>0x4C81</v>
      </c>
      <c r="F97" s="7">
        <f t="shared" si="13"/>
        <v>19585</v>
      </c>
      <c r="G97" s="7" t="str">
        <f t="shared" si="20"/>
        <v>Severe</v>
      </c>
      <c r="H97" s="7" t="str">
        <f t="shared" si="21"/>
        <v>F32001</v>
      </c>
      <c r="I97" s="7" t="s">
        <v>444</v>
      </c>
      <c r="J97" s="12" t="s">
        <v>445</v>
      </c>
      <c r="K97" s="12" t="s">
        <v>446</v>
      </c>
    </row>
    <row r="98" spans="2:11" x14ac:dyDescent="0.2">
      <c r="B98" s="7">
        <v>3</v>
      </c>
      <c r="C98" s="7">
        <v>4</v>
      </c>
      <c r="D98" s="7">
        <v>1</v>
      </c>
      <c r="E98" s="7" t="str">
        <f t="shared" si="17"/>
        <v>0x4D01</v>
      </c>
      <c r="F98" s="7">
        <f t="shared" si="13"/>
        <v>19713</v>
      </c>
      <c r="G98" s="7" t="str">
        <f t="shared" si="20"/>
        <v>Severe</v>
      </c>
      <c r="H98" s="7" t="str">
        <f t="shared" si="21"/>
        <v>F34001</v>
      </c>
      <c r="I98" s="7" t="s">
        <v>321</v>
      </c>
      <c r="J98" s="13"/>
      <c r="K98" s="13"/>
    </row>
    <row r="99" spans="2:11" x14ac:dyDescent="0.2">
      <c r="B99" s="7">
        <v>3</v>
      </c>
      <c r="C99" s="7">
        <v>4</v>
      </c>
      <c r="D99" s="7">
        <v>2</v>
      </c>
      <c r="E99" s="7" t="str">
        <f t="shared" si="17"/>
        <v>0x4D02</v>
      </c>
      <c r="F99" s="7">
        <f t="shared" si="13"/>
        <v>19714</v>
      </c>
      <c r="G99" s="7" t="str">
        <f t="shared" si="20"/>
        <v>Severe</v>
      </c>
      <c r="H99" s="7" t="str">
        <f t="shared" si="21"/>
        <v>F34002</v>
      </c>
      <c r="I99" s="7" t="s">
        <v>322</v>
      </c>
      <c r="J99" s="13"/>
      <c r="K99" s="13"/>
    </row>
    <row r="100" spans="2:11" x14ac:dyDescent="0.2">
      <c r="B100" s="7">
        <v>3</v>
      </c>
      <c r="C100" s="7">
        <v>4</v>
      </c>
      <c r="D100" s="7">
        <v>3</v>
      </c>
      <c r="E100" s="7" t="str">
        <f t="shared" si="17"/>
        <v>0x4D03</v>
      </c>
      <c r="F100" s="7">
        <f t="shared" si="13"/>
        <v>19715</v>
      </c>
      <c r="G100" s="7" t="str">
        <f t="shared" si="20"/>
        <v>Severe</v>
      </c>
      <c r="H100" s="7" t="str">
        <f t="shared" si="21"/>
        <v>F34003</v>
      </c>
      <c r="I100" s="7" t="s">
        <v>352</v>
      </c>
      <c r="J100" s="13"/>
      <c r="K100" s="13"/>
    </row>
    <row r="101" spans="2:11" x14ac:dyDescent="0.2">
      <c r="B101" s="7">
        <v>3</v>
      </c>
      <c r="C101" s="7">
        <v>4</v>
      </c>
      <c r="D101" s="7">
        <v>4</v>
      </c>
      <c r="E101" s="7" t="str">
        <f t="shared" si="17"/>
        <v>0x4D04</v>
      </c>
      <c r="F101" s="7">
        <f t="shared" si="13"/>
        <v>19716</v>
      </c>
      <c r="G101" s="7" t="str">
        <f t="shared" si="20"/>
        <v>Severe</v>
      </c>
      <c r="H101" s="7" t="str">
        <f t="shared" si="21"/>
        <v>F34004</v>
      </c>
      <c r="I101" s="7" t="s">
        <v>353</v>
      </c>
      <c r="J101" s="12" t="s">
        <v>354</v>
      </c>
      <c r="K101" s="12" t="s">
        <v>355</v>
      </c>
    </row>
    <row r="102" spans="2:11" x14ac:dyDescent="0.2">
      <c r="B102" s="7">
        <v>3</v>
      </c>
      <c r="C102" s="7">
        <v>5</v>
      </c>
      <c r="D102" s="7">
        <v>1</v>
      </c>
      <c r="E102" s="7" t="str">
        <f t="shared" ref="E102:E107" si="22">IF(B102="","",CONCATENATE("0x",DEC2HEX(16384+(B102*1024)+(C102*64)+D102)))</f>
        <v>0x4D41</v>
      </c>
      <c r="F102" s="7">
        <f t="shared" si="13"/>
        <v>19777</v>
      </c>
      <c r="G102" s="7" t="str">
        <f t="shared" ref="G102:G107" si="23">IF(B102=1,"Warning",IF(B102=2,"Drive Inhibit",IF(B102=3,"Severe",IF(B102=4,"Very Severe",IF(B102=5,"Return to Base","")))))</f>
        <v>Severe</v>
      </c>
      <c r="H102" s="7" t="str">
        <f t="shared" ref="H102:H107" si="24">IF(B102="","",CONCATENATE("F",B102*10000+(IF(C102&lt;10,C102*10,(C102-10)*10+1)*100+D102)))</f>
        <v>F35001</v>
      </c>
      <c r="I102" s="7" t="s">
        <v>244</v>
      </c>
      <c r="J102" s="13" t="s">
        <v>245</v>
      </c>
      <c r="K102" s="13" t="s">
        <v>248</v>
      </c>
    </row>
    <row r="103" spans="2:11" x14ac:dyDescent="0.2">
      <c r="B103" s="7">
        <v>3</v>
      </c>
      <c r="C103" s="7">
        <v>5</v>
      </c>
      <c r="D103" s="7">
        <v>2</v>
      </c>
      <c r="E103" s="7" t="str">
        <f t="shared" si="22"/>
        <v>0x4D42</v>
      </c>
      <c r="F103" s="7">
        <f t="shared" si="13"/>
        <v>19778</v>
      </c>
      <c r="G103" s="7" t="str">
        <f t="shared" si="23"/>
        <v>Severe</v>
      </c>
      <c r="H103" s="7" t="str">
        <f t="shared" si="24"/>
        <v>F35002</v>
      </c>
      <c r="I103" s="7" t="s">
        <v>246</v>
      </c>
      <c r="J103" s="13" t="s">
        <v>247</v>
      </c>
      <c r="K103" s="13" t="s">
        <v>242</v>
      </c>
    </row>
    <row r="104" spans="2:11" x14ac:dyDescent="0.2">
      <c r="B104" s="7">
        <v>3</v>
      </c>
      <c r="C104" s="7">
        <v>5</v>
      </c>
      <c r="D104" s="7">
        <v>3</v>
      </c>
      <c r="E104" s="7" t="str">
        <f t="shared" si="22"/>
        <v>0x4D43</v>
      </c>
      <c r="F104" s="7">
        <f t="shared" si="13"/>
        <v>19779</v>
      </c>
      <c r="G104" s="7" t="str">
        <f t="shared" si="23"/>
        <v>Severe</v>
      </c>
      <c r="H104" s="7" t="str">
        <f t="shared" si="24"/>
        <v>F35003</v>
      </c>
      <c r="I104" s="7" t="s">
        <v>309</v>
      </c>
      <c r="J104" s="12" t="s">
        <v>331</v>
      </c>
      <c r="K104" s="12" t="s">
        <v>339</v>
      </c>
    </row>
    <row r="105" spans="2:11" x14ac:dyDescent="0.2">
      <c r="B105" s="7">
        <v>3</v>
      </c>
      <c r="C105" s="7">
        <v>7</v>
      </c>
      <c r="D105" s="7">
        <v>3</v>
      </c>
      <c r="E105" s="7" t="str">
        <f t="shared" si="22"/>
        <v>0x4DC3</v>
      </c>
      <c r="F105" s="7">
        <f t="shared" si="13"/>
        <v>19907</v>
      </c>
      <c r="G105" s="7" t="str">
        <f t="shared" si="23"/>
        <v>Severe</v>
      </c>
      <c r="H105" s="7" t="str">
        <f t="shared" si="24"/>
        <v>F37003</v>
      </c>
      <c r="I105" s="7" t="s">
        <v>270</v>
      </c>
      <c r="J105" s="12" t="s">
        <v>271</v>
      </c>
      <c r="K105" s="12" t="s">
        <v>272</v>
      </c>
    </row>
    <row r="106" spans="2:11" ht="22.5" x14ac:dyDescent="0.2">
      <c r="B106" s="7">
        <v>3</v>
      </c>
      <c r="C106" s="7">
        <v>10</v>
      </c>
      <c r="D106" s="7">
        <v>1</v>
      </c>
      <c r="E106" s="7" t="str">
        <f t="shared" si="22"/>
        <v>0x4E81</v>
      </c>
      <c r="F106" s="7">
        <f t="shared" si="13"/>
        <v>20097</v>
      </c>
      <c r="G106" s="7" t="str">
        <f t="shared" si="23"/>
        <v>Severe</v>
      </c>
      <c r="H106" s="7" t="str">
        <f t="shared" si="24"/>
        <v>F30101</v>
      </c>
      <c r="I106" s="7" t="s">
        <v>263</v>
      </c>
      <c r="J106" s="13" t="s">
        <v>264</v>
      </c>
      <c r="K106" s="13" t="s">
        <v>180</v>
      </c>
    </row>
    <row r="107" spans="2:11" x14ac:dyDescent="0.2">
      <c r="B107" s="7">
        <v>3</v>
      </c>
      <c r="C107" s="7">
        <v>11</v>
      </c>
      <c r="D107" s="7">
        <v>1</v>
      </c>
      <c r="E107" s="7" t="str">
        <f t="shared" si="22"/>
        <v>0x4EC1</v>
      </c>
      <c r="F107" s="7">
        <f t="shared" si="13"/>
        <v>20161</v>
      </c>
      <c r="G107" s="7" t="str">
        <f t="shared" si="23"/>
        <v>Severe</v>
      </c>
      <c r="H107" s="7" t="str">
        <f t="shared" si="24"/>
        <v>F31101</v>
      </c>
      <c r="I107" s="7" t="s">
        <v>367</v>
      </c>
      <c r="J107" s="12" t="s">
        <v>369</v>
      </c>
      <c r="K107" s="12" t="s">
        <v>368</v>
      </c>
    </row>
    <row r="108" spans="2:11" ht="22.5" x14ac:dyDescent="0.2">
      <c r="B108" s="7">
        <v>3</v>
      </c>
      <c r="C108" s="7">
        <v>11</v>
      </c>
      <c r="D108" s="7">
        <v>2</v>
      </c>
      <c r="E108" s="7" t="str">
        <f>IF(B108="","",CONCATENATE("0x",DEC2HEX(16384+(B108*1024)+(C108*64)+D108)))</f>
        <v>0x4EC2</v>
      </c>
      <c r="F108" s="7">
        <f t="shared" si="13"/>
        <v>20162</v>
      </c>
      <c r="G108" s="7" t="str">
        <f t="shared" ref="G108:G134" si="25">IF(B108=1,"Warning",IF(B108=2,"Drive Inhibit",IF(B108=3,"Severe",IF(B108=4,"Very Severe",IF(B108=5,"Return to Base","")))))</f>
        <v>Severe</v>
      </c>
      <c r="H108" s="7" t="str">
        <f t="shared" ref="H108:H134" si="26">IF(B108="","",CONCATENATE("F",B108*10000+(IF(C108&lt;10,C108*10,(C108-10)*10+1)*100+D108)))</f>
        <v>F31102</v>
      </c>
      <c r="I108" s="7" t="s">
        <v>370</v>
      </c>
      <c r="J108" s="12" t="s">
        <v>371</v>
      </c>
      <c r="K108" s="12" t="s">
        <v>372</v>
      </c>
    </row>
    <row r="109" spans="2:11" x14ac:dyDescent="0.2">
      <c r="B109" s="7">
        <v>3</v>
      </c>
      <c r="C109" s="7">
        <v>12</v>
      </c>
      <c r="D109" s="7">
        <v>1</v>
      </c>
      <c r="E109" s="7" t="str">
        <f t="shared" si="17"/>
        <v>0x4F01</v>
      </c>
      <c r="F109" s="7">
        <f t="shared" si="13"/>
        <v>20225</v>
      </c>
      <c r="G109" s="7" t="str">
        <f t="shared" si="25"/>
        <v>Severe</v>
      </c>
      <c r="H109" s="7" t="str">
        <f t="shared" si="26"/>
        <v>F32101</v>
      </c>
      <c r="I109" s="7" t="s">
        <v>29</v>
      </c>
      <c r="J109" s="13" t="s">
        <v>185</v>
      </c>
      <c r="K109" s="13" t="s">
        <v>186</v>
      </c>
    </row>
    <row r="110" spans="2:11" x14ac:dyDescent="0.2">
      <c r="B110" s="7">
        <v>3</v>
      </c>
      <c r="C110" s="7">
        <v>12</v>
      </c>
      <c r="D110" s="7">
        <v>2</v>
      </c>
      <c r="E110" s="7" t="str">
        <f t="shared" si="17"/>
        <v>0x4F02</v>
      </c>
      <c r="F110" s="7">
        <f t="shared" si="13"/>
        <v>20226</v>
      </c>
      <c r="G110" s="7" t="str">
        <f t="shared" si="25"/>
        <v>Severe</v>
      </c>
      <c r="H110" s="7" t="str">
        <f t="shared" si="26"/>
        <v>F32102</v>
      </c>
      <c r="I110" s="7" t="s">
        <v>30</v>
      </c>
      <c r="J110" s="13" t="s">
        <v>187</v>
      </c>
      <c r="K110" s="13" t="s">
        <v>188</v>
      </c>
    </row>
    <row r="111" spans="2:11" x14ac:dyDescent="0.2">
      <c r="B111" s="7">
        <v>3</v>
      </c>
      <c r="C111" s="7">
        <v>13</v>
      </c>
      <c r="D111" s="7">
        <v>1</v>
      </c>
      <c r="E111" s="7" t="str">
        <f t="shared" si="17"/>
        <v>0x4F41</v>
      </c>
      <c r="F111" s="7">
        <f t="shared" si="13"/>
        <v>20289</v>
      </c>
      <c r="G111" s="7" t="str">
        <f t="shared" si="25"/>
        <v>Severe</v>
      </c>
      <c r="H111" s="7" t="str">
        <f t="shared" si="26"/>
        <v>F33101</v>
      </c>
      <c r="I111" s="7" t="s">
        <v>31</v>
      </c>
      <c r="J111" s="13" t="s">
        <v>188</v>
      </c>
      <c r="K111" s="13" t="s">
        <v>188</v>
      </c>
    </row>
    <row r="112" spans="2:11" x14ac:dyDescent="0.2">
      <c r="B112" s="7">
        <v>3</v>
      </c>
      <c r="C112" s="7">
        <v>13</v>
      </c>
      <c r="D112" s="7">
        <v>2</v>
      </c>
      <c r="E112" s="7" t="str">
        <f t="shared" si="17"/>
        <v>0x4F42</v>
      </c>
      <c r="F112" s="7">
        <f t="shared" si="13"/>
        <v>20290</v>
      </c>
      <c r="G112" s="7" t="str">
        <f t="shared" si="25"/>
        <v>Severe</v>
      </c>
      <c r="H112" s="7" t="str">
        <f t="shared" si="26"/>
        <v>F33102</v>
      </c>
      <c r="I112" s="7" t="s">
        <v>32</v>
      </c>
      <c r="J112" s="13" t="s">
        <v>32</v>
      </c>
      <c r="K112" s="13" t="s">
        <v>188</v>
      </c>
    </row>
    <row r="113" spans="2:11" x14ac:dyDescent="0.2">
      <c r="B113" s="7">
        <v>3</v>
      </c>
      <c r="C113" s="7">
        <v>13</v>
      </c>
      <c r="D113" s="7">
        <v>3</v>
      </c>
      <c r="E113" s="7" t="str">
        <f t="shared" si="17"/>
        <v>0x4F43</v>
      </c>
      <c r="F113" s="7">
        <f t="shared" si="13"/>
        <v>20291</v>
      </c>
      <c r="G113" s="7" t="str">
        <f t="shared" si="25"/>
        <v>Severe</v>
      </c>
      <c r="H113" s="7" t="str">
        <f t="shared" si="26"/>
        <v>F33103</v>
      </c>
      <c r="I113" s="7" t="s">
        <v>33</v>
      </c>
      <c r="J113" s="13" t="s">
        <v>189</v>
      </c>
      <c r="K113" s="13" t="s">
        <v>188</v>
      </c>
    </row>
    <row r="114" spans="2:11" x14ac:dyDescent="0.2">
      <c r="B114" s="7">
        <v>3</v>
      </c>
      <c r="C114" s="7">
        <v>13</v>
      </c>
      <c r="D114" s="7">
        <v>4</v>
      </c>
      <c r="E114" s="7" t="str">
        <f t="shared" ref="E114:E153" si="27">IF(B114="","",CONCATENATE("0x",DEC2HEX(16384+(B114*1024)+(C114*64)+D114)))</f>
        <v>0x4F44</v>
      </c>
      <c r="F114" s="7">
        <f t="shared" si="13"/>
        <v>20292</v>
      </c>
      <c r="G114" s="7" t="str">
        <f t="shared" si="25"/>
        <v>Severe</v>
      </c>
      <c r="H114" s="7" t="str">
        <f t="shared" si="26"/>
        <v>F33104</v>
      </c>
      <c r="I114" s="7" t="s">
        <v>34</v>
      </c>
      <c r="J114" s="13" t="s">
        <v>190</v>
      </c>
      <c r="K114" s="13" t="s">
        <v>188</v>
      </c>
    </row>
    <row r="115" spans="2:11" x14ac:dyDescent="0.2">
      <c r="B115" s="7">
        <v>3</v>
      </c>
      <c r="C115" s="7">
        <v>13</v>
      </c>
      <c r="D115" s="7">
        <v>5</v>
      </c>
      <c r="E115" s="7" t="str">
        <f t="shared" si="27"/>
        <v>0x4F45</v>
      </c>
      <c r="F115" s="7">
        <f t="shared" si="13"/>
        <v>20293</v>
      </c>
      <c r="G115" s="7" t="str">
        <f t="shared" si="25"/>
        <v>Severe</v>
      </c>
      <c r="H115" s="7" t="str">
        <f t="shared" si="26"/>
        <v>F33105</v>
      </c>
      <c r="I115" s="7" t="s">
        <v>35</v>
      </c>
      <c r="J115" s="13" t="s">
        <v>191</v>
      </c>
      <c r="K115" s="13" t="s">
        <v>188</v>
      </c>
    </row>
    <row r="116" spans="2:11" x14ac:dyDescent="0.2">
      <c r="B116" s="7">
        <v>3</v>
      </c>
      <c r="C116" s="7">
        <v>13</v>
      </c>
      <c r="D116" s="7">
        <v>6</v>
      </c>
      <c r="E116" s="7" t="str">
        <f t="shared" si="27"/>
        <v>0x4F46</v>
      </c>
      <c r="F116" s="7">
        <f t="shared" si="13"/>
        <v>20294</v>
      </c>
      <c r="G116" s="7" t="str">
        <f t="shared" si="25"/>
        <v>Severe</v>
      </c>
      <c r="H116" s="7" t="str">
        <f t="shared" si="26"/>
        <v>F33106</v>
      </c>
      <c r="I116" s="7" t="s">
        <v>36</v>
      </c>
      <c r="J116" s="13" t="s">
        <v>192</v>
      </c>
      <c r="K116" s="13" t="s">
        <v>188</v>
      </c>
    </row>
    <row r="117" spans="2:11" x14ac:dyDescent="0.2">
      <c r="B117" s="7">
        <v>3</v>
      </c>
      <c r="C117" s="7">
        <v>13</v>
      </c>
      <c r="D117" s="7">
        <v>7</v>
      </c>
      <c r="E117" s="7" t="str">
        <f t="shared" si="27"/>
        <v>0x4F47</v>
      </c>
      <c r="F117" s="7">
        <f t="shared" si="13"/>
        <v>20295</v>
      </c>
      <c r="G117" s="7" t="str">
        <f t="shared" si="25"/>
        <v>Severe</v>
      </c>
      <c r="H117" s="7" t="str">
        <f t="shared" si="26"/>
        <v>F33107</v>
      </c>
      <c r="I117" s="7" t="s">
        <v>37</v>
      </c>
      <c r="J117" s="13" t="s">
        <v>193</v>
      </c>
      <c r="K117" s="13" t="s">
        <v>194</v>
      </c>
    </row>
    <row r="118" spans="2:11" x14ac:dyDescent="0.2">
      <c r="B118" s="7">
        <v>3</v>
      </c>
      <c r="C118" s="7">
        <v>13</v>
      </c>
      <c r="D118" s="7">
        <v>8</v>
      </c>
      <c r="E118" s="7" t="str">
        <f t="shared" si="27"/>
        <v>0x4F48</v>
      </c>
      <c r="F118" s="7">
        <f t="shared" si="13"/>
        <v>20296</v>
      </c>
      <c r="G118" s="7" t="str">
        <f t="shared" si="25"/>
        <v>Severe</v>
      </c>
      <c r="H118" s="7" t="str">
        <f t="shared" si="26"/>
        <v>F33108</v>
      </c>
      <c r="I118" s="7" t="s">
        <v>38</v>
      </c>
      <c r="J118" s="13" t="s">
        <v>188</v>
      </c>
      <c r="K118" s="13" t="s">
        <v>188</v>
      </c>
    </row>
    <row r="119" spans="2:11" x14ac:dyDescent="0.2">
      <c r="B119" s="7">
        <v>3</v>
      </c>
      <c r="C119" s="7">
        <v>13</v>
      </c>
      <c r="D119" s="7">
        <v>9</v>
      </c>
      <c r="E119" s="7" t="str">
        <f t="shared" si="27"/>
        <v>0x4F49</v>
      </c>
      <c r="F119" s="7">
        <f t="shared" si="13"/>
        <v>20297</v>
      </c>
      <c r="G119" s="7" t="str">
        <f t="shared" si="25"/>
        <v>Severe</v>
      </c>
      <c r="H119" s="7" t="str">
        <f t="shared" si="26"/>
        <v>F33109</v>
      </c>
      <c r="I119" s="7" t="s">
        <v>39</v>
      </c>
      <c r="J119" s="13" t="s">
        <v>188</v>
      </c>
      <c r="K119" s="13" t="s">
        <v>188</v>
      </c>
    </row>
    <row r="120" spans="2:11" x14ac:dyDescent="0.2">
      <c r="B120" s="7">
        <v>3</v>
      </c>
      <c r="C120" s="7">
        <v>13</v>
      </c>
      <c r="D120" s="7">
        <v>10</v>
      </c>
      <c r="E120" s="7" t="str">
        <f t="shared" si="27"/>
        <v>0x4F4A</v>
      </c>
      <c r="F120" s="7">
        <f t="shared" si="13"/>
        <v>20298</v>
      </c>
      <c r="G120" s="7" t="str">
        <f t="shared" si="25"/>
        <v>Severe</v>
      </c>
      <c r="H120" s="7" t="str">
        <f t="shared" si="26"/>
        <v>F33110</v>
      </c>
      <c r="I120" s="7" t="s">
        <v>40</v>
      </c>
      <c r="J120" s="13" t="s">
        <v>188</v>
      </c>
      <c r="K120" s="13" t="s">
        <v>188</v>
      </c>
    </row>
    <row r="121" spans="2:11" x14ac:dyDescent="0.2">
      <c r="B121" s="7">
        <v>3</v>
      </c>
      <c r="C121" s="7">
        <v>13</v>
      </c>
      <c r="D121" s="7">
        <v>11</v>
      </c>
      <c r="E121" s="7" t="str">
        <f t="shared" si="27"/>
        <v>0x4F4B</v>
      </c>
      <c r="F121" s="7">
        <f t="shared" si="13"/>
        <v>20299</v>
      </c>
      <c r="G121" s="7" t="str">
        <f t="shared" si="25"/>
        <v>Severe</v>
      </c>
      <c r="H121" s="7" t="str">
        <f t="shared" si="26"/>
        <v>F33111</v>
      </c>
      <c r="I121" s="7" t="s">
        <v>41</v>
      </c>
      <c r="J121" s="13" t="s">
        <v>188</v>
      </c>
      <c r="K121" s="13" t="s">
        <v>188</v>
      </c>
    </row>
    <row r="122" spans="2:11" x14ac:dyDescent="0.2">
      <c r="B122" s="7">
        <v>3</v>
      </c>
      <c r="C122" s="7">
        <v>13</v>
      </c>
      <c r="D122" s="7">
        <v>12</v>
      </c>
      <c r="E122" s="7" t="str">
        <f t="shared" si="27"/>
        <v>0x4F4C</v>
      </c>
      <c r="F122" s="7">
        <f t="shared" si="13"/>
        <v>20300</v>
      </c>
      <c r="G122" s="7" t="str">
        <f t="shared" si="25"/>
        <v>Severe</v>
      </c>
      <c r="H122" s="7" t="str">
        <f t="shared" si="26"/>
        <v>F33112</v>
      </c>
      <c r="I122" s="7" t="s">
        <v>42</v>
      </c>
      <c r="J122" s="13" t="s">
        <v>188</v>
      </c>
      <c r="K122" s="13" t="s">
        <v>188</v>
      </c>
    </row>
    <row r="123" spans="2:11" x14ac:dyDescent="0.2">
      <c r="B123" s="7">
        <v>3</v>
      </c>
      <c r="C123" s="7">
        <v>13</v>
      </c>
      <c r="D123" s="7">
        <v>13</v>
      </c>
      <c r="E123" s="7" t="str">
        <f t="shared" si="27"/>
        <v>0x4F4D</v>
      </c>
      <c r="F123" s="7">
        <f t="shared" si="13"/>
        <v>20301</v>
      </c>
      <c r="G123" s="7" t="str">
        <f t="shared" si="25"/>
        <v>Severe</v>
      </c>
      <c r="H123" s="7" t="str">
        <f t="shared" si="26"/>
        <v>F33113</v>
      </c>
      <c r="I123" s="7" t="s">
        <v>43</v>
      </c>
      <c r="J123" s="13" t="s">
        <v>188</v>
      </c>
      <c r="K123" s="13" t="s">
        <v>188</v>
      </c>
    </row>
    <row r="124" spans="2:11" x14ac:dyDescent="0.2">
      <c r="B124" s="7">
        <v>3</v>
      </c>
      <c r="C124" s="7">
        <v>13</v>
      </c>
      <c r="D124" s="7">
        <v>14</v>
      </c>
      <c r="E124" s="7" t="str">
        <f t="shared" si="27"/>
        <v>0x4F4E</v>
      </c>
      <c r="F124" s="7">
        <f t="shared" si="13"/>
        <v>20302</v>
      </c>
      <c r="G124" s="7" t="str">
        <f t="shared" si="25"/>
        <v>Severe</v>
      </c>
      <c r="H124" s="7" t="str">
        <f t="shared" si="26"/>
        <v>F33114</v>
      </c>
      <c r="I124" s="7" t="s">
        <v>44</v>
      </c>
      <c r="J124" s="13" t="s">
        <v>188</v>
      </c>
      <c r="K124" s="13" t="s">
        <v>188</v>
      </c>
    </row>
    <row r="125" spans="2:11" x14ac:dyDescent="0.2">
      <c r="B125" s="7">
        <v>3</v>
      </c>
      <c r="C125" s="7">
        <v>13</v>
      </c>
      <c r="D125" s="7">
        <v>15</v>
      </c>
      <c r="E125" s="7" t="str">
        <f t="shared" si="27"/>
        <v>0x4F4F</v>
      </c>
      <c r="F125" s="7">
        <f t="shared" si="13"/>
        <v>20303</v>
      </c>
      <c r="G125" s="7" t="str">
        <f t="shared" si="25"/>
        <v>Severe</v>
      </c>
      <c r="H125" s="7" t="str">
        <f t="shared" si="26"/>
        <v>F33115</v>
      </c>
      <c r="I125" s="7" t="s">
        <v>45</v>
      </c>
      <c r="J125" s="13" t="s">
        <v>188</v>
      </c>
      <c r="K125" s="13" t="s">
        <v>188</v>
      </c>
    </row>
    <row r="126" spans="2:11" x14ac:dyDescent="0.2">
      <c r="B126" s="7">
        <v>3</v>
      </c>
      <c r="C126" s="7">
        <v>13</v>
      </c>
      <c r="D126" s="7">
        <v>16</v>
      </c>
      <c r="E126" s="7" t="str">
        <f t="shared" si="27"/>
        <v>0x4F50</v>
      </c>
      <c r="F126" s="7">
        <f t="shared" si="13"/>
        <v>20304</v>
      </c>
      <c r="G126" s="7" t="str">
        <f t="shared" si="25"/>
        <v>Severe</v>
      </c>
      <c r="H126" s="7" t="str">
        <f t="shared" si="26"/>
        <v>F33116</v>
      </c>
      <c r="I126" s="7" t="s">
        <v>46</v>
      </c>
      <c r="J126" s="13" t="s">
        <v>195</v>
      </c>
      <c r="K126" s="13" t="s">
        <v>196</v>
      </c>
    </row>
    <row r="127" spans="2:11" x14ac:dyDescent="0.2">
      <c r="B127" s="7">
        <v>3</v>
      </c>
      <c r="C127" s="7">
        <v>13</v>
      </c>
      <c r="D127" s="7">
        <v>17</v>
      </c>
      <c r="E127" s="7" t="str">
        <f t="shared" si="27"/>
        <v>0x4F51</v>
      </c>
      <c r="F127" s="7">
        <f t="shared" si="13"/>
        <v>20305</v>
      </c>
      <c r="G127" s="7" t="str">
        <f t="shared" si="25"/>
        <v>Severe</v>
      </c>
      <c r="H127" s="7" t="str">
        <f t="shared" si="26"/>
        <v>F33117</v>
      </c>
      <c r="I127" s="7" t="s">
        <v>47</v>
      </c>
      <c r="J127" s="13" t="s">
        <v>193</v>
      </c>
      <c r="K127" s="13" t="s">
        <v>194</v>
      </c>
    </row>
    <row r="128" spans="2:11" ht="22.5" x14ac:dyDescent="0.2">
      <c r="B128" s="7">
        <v>3</v>
      </c>
      <c r="C128" s="7">
        <v>13</v>
      </c>
      <c r="D128" s="7">
        <v>18</v>
      </c>
      <c r="E128" s="7" t="str">
        <f t="shared" si="27"/>
        <v>0x4F52</v>
      </c>
      <c r="F128" s="7">
        <f t="shared" si="13"/>
        <v>20306</v>
      </c>
      <c r="G128" s="7" t="str">
        <f t="shared" si="25"/>
        <v>Severe</v>
      </c>
      <c r="H128" s="7" t="str">
        <f t="shared" si="26"/>
        <v>F33118</v>
      </c>
      <c r="I128" s="7" t="s">
        <v>48</v>
      </c>
      <c r="J128" s="12" t="s">
        <v>417</v>
      </c>
      <c r="K128" s="13" t="s">
        <v>194</v>
      </c>
    </row>
    <row r="129" spans="2:11" x14ac:dyDescent="0.2">
      <c r="B129" s="7">
        <v>3</v>
      </c>
      <c r="C129" s="7">
        <v>13</v>
      </c>
      <c r="D129" s="7">
        <v>19</v>
      </c>
      <c r="E129" s="7" t="str">
        <f t="shared" si="27"/>
        <v>0x4F53</v>
      </c>
      <c r="F129" s="7">
        <f t="shared" si="13"/>
        <v>20307</v>
      </c>
      <c r="G129" s="7" t="str">
        <f t="shared" si="25"/>
        <v>Severe</v>
      </c>
      <c r="H129" s="7" t="str">
        <f t="shared" si="26"/>
        <v>F33119</v>
      </c>
      <c r="I129" s="7" t="s">
        <v>49</v>
      </c>
      <c r="J129" s="13" t="s">
        <v>188</v>
      </c>
      <c r="K129" s="13" t="s">
        <v>188</v>
      </c>
    </row>
    <row r="130" spans="2:11" x14ac:dyDescent="0.2">
      <c r="B130" s="7">
        <v>3</v>
      </c>
      <c r="C130" s="7">
        <v>13</v>
      </c>
      <c r="D130" s="7">
        <v>20</v>
      </c>
      <c r="E130" s="7" t="str">
        <f t="shared" si="27"/>
        <v>0x4F54</v>
      </c>
      <c r="F130" s="7">
        <f t="shared" si="13"/>
        <v>20308</v>
      </c>
      <c r="G130" s="7" t="str">
        <f t="shared" si="25"/>
        <v>Severe</v>
      </c>
      <c r="H130" s="7" t="str">
        <f t="shared" si="26"/>
        <v>F33120</v>
      </c>
      <c r="I130" s="7" t="s">
        <v>104</v>
      </c>
      <c r="J130" s="13" t="s">
        <v>197</v>
      </c>
      <c r="K130" s="13" t="s">
        <v>194</v>
      </c>
    </row>
    <row r="131" spans="2:11" x14ac:dyDescent="0.2">
      <c r="B131" s="7">
        <v>3</v>
      </c>
      <c r="C131" s="7">
        <v>13</v>
      </c>
      <c r="D131" s="7">
        <v>21</v>
      </c>
      <c r="E131" s="7" t="str">
        <f t="shared" si="27"/>
        <v>0x4F55</v>
      </c>
      <c r="F131" s="7">
        <f t="shared" si="13"/>
        <v>20309</v>
      </c>
      <c r="G131" s="7" t="str">
        <f t="shared" si="25"/>
        <v>Severe</v>
      </c>
      <c r="H131" s="7" t="str">
        <f t="shared" si="26"/>
        <v>F33121</v>
      </c>
      <c r="I131" s="7" t="s">
        <v>105</v>
      </c>
      <c r="J131" s="13" t="s">
        <v>198</v>
      </c>
      <c r="K131" s="13" t="s">
        <v>188</v>
      </c>
    </row>
    <row r="132" spans="2:11" ht="22.5" x14ac:dyDescent="0.2">
      <c r="B132" s="7">
        <v>3</v>
      </c>
      <c r="C132" s="7">
        <v>13</v>
      </c>
      <c r="D132" s="7">
        <v>22</v>
      </c>
      <c r="E132" s="7" t="str">
        <f>IF(B132="","",CONCATENATE("0x",DEC2HEX(16384+(B132*1024)+(C132*64)+D132)))</f>
        <v>0x4F56</v>
      </c>
      <c r="F132" s="7">
        <f t="shared" si="13"/>
        <v>20310</v>
      </c>
      <c r="G132" s="7" t="str">
        <f t="shared" si="25"/>
        <v>Severe</v>
      </c>
      <c r="H132" s="7" t="str">
        <f t="shared" si="26"/>
        <v>F33122</v>
      </c>
      <c r="I132" s="7" t="s">
        <v>307</v>
      </c>
      <c r="J132" s="12" t="s">
        <v>310</v>
      </c>
      <c r="K132" s="12" t="s">
        <v>308</v>
      </c>
    </row>
    <row r="133" spans="2:11" x14ac:dyDescent="0.2">
      <c r="B133" s="7">
        <v>3</v>
      </c>
      <c r="C133" s="7">
        <v>13</v>
      </c>
      <c r="D133" s="7">
        <v>23</v>
      </c>
      <c r="E133" s="7" t="str">
        <f>IF(B133="","",CONCATENATE("0x",DEC2HEX(16384+(B133*1024)+(C133*64)+D133)))</f>
        <v>0x4F57</v>
      </c>
      <c r="F133" s="7">
        <f t="shared" si="13"/>
        <v>20311</v>
      </c>
      <c r="G133" s="7" t="str">
        <f t="shared" si="25"/>
        <v>Severe</v>
      </c>
      <c r="H133" s="7" t="str">
        <f t="shared" si="26"/>
        <v>F33123</v>
      </c>
      <c r="I133" s="7" t="s">
        <v>309</v>
      </c>
      <c r="J133" s="12" t="s">
        <v>311</v>
      </c>
      <c r="K133" s="12" t="s">
        <v>308</v>
      </c>
    </row>
    <row r="134" spans="2:11" ht="22.5" x14ac:dyDescent="0.2">
      <c r="B134" s="7">
        <v>3</v>
      </c>
      <c r="C134" s="7">
        <v>14</v>
      </c>
      <c r="D134" s="7">
        <v>1</v>
      </c>
      <c r="E134" s="7" t="str">
        <f t="shared" si="27"/>
        <v>0x4F81</v>
      </c>
      <c r="F134" s="7">
        <f t="shared" si="13"/>
        <v>20353</v>
      </c>
      <c r="G134" s="7" t="str">
        <f t="shared" si="25"/>
        <v>Severe</v>
      </c>
      <c r="H134" s="7" t="str">
        <f t="shared" si="26"/>
        <v>F34101</v>
      </c>
      <c r="I134" s="7" t="s">
        <v>50</v>
      </c>
      <c r="J134" s="13" t="s">
        <v>148</v>
      </c>
      <c r="K134" s="13" t="s">
        <v>146</v>
      </c>
    </row>
    <row r="135" spans="2:11" ht="1.1499999999999999" customHeight="1" x14ac:dyDescent="0.2">
      <c r="B135" s="7"/>
      <c r="C135" s="7"/>
      <c r="D135" s="7"/>
      <c r="E135" s="7" t="str">
        <f t="shared" si="27"/>
        <v/>
      </c>
      <c r="F135" s="7">
        <f t="shared" ref="F135:F198" si="28">HEX2DEC(RIGHT(E135,4))</f>
        <v>0</v>
      </c>
      <c r="G135" s="7" t="str">
        <f t="shared" ref="G135:G199" si="29">IF(B135=1,"Warning",IF(B135=2,"Drive Inhibit",IF(B135=3,"Severe",IF(B135=4,"Very Severe",IF(B135=5,"Return to Base","")))))</f>
        <v/>
      </c>
      <c r="H135" s="7" t="str">
        <f t="shared" ref="H135:H199" si="30">IF(B135="","",CONCATENATE("F",B135*10000+(IF(C135&lt;10,C135*10,(C135-10)*10+1)*100+D135)))</f>
        <v/>
      </c>
      <c r="I135" s="7"/>
      <c r="J135" s="12"/>
      <c r="K135" s="12"/>
    </row>
    <row r="136" spans="2:11" ht="22.5" x14ac:dyDescent="0.2">
      <c r="B136" s="7">
        <v>4</v>
      </c>
      <c r="C136" s="7">
        <v>1</v>
      </c>
      <c r="D136" s="7">
        <v>1</v>
      </c>
      <c r="E136" s="7" t="str">
        <f t="shared" si="27"/>
        <v>0x5041</v>
      </c>
      <c r="F136" s="7">
        <f t="shared" si="28"/>
        <v>20545</v>
      </c>
      <c r="G136" s="7" t="str">
        <f t="shared" si="29"/>
        <v>Very Severe</v>
      </c>
      <c r="H136" s="7" t="str">
        <f t="shared" si="30"/>
        <v>F41001</v>
      </c>
      <c r="I136" s="7" t="s">
        <v>51</v>
      </c>
      <c r="J136" s="13" t="s">
        <v>199</v>
      </c>
      <c r="K136" s="12"/>
    </row>
    <row r="137" spans="2:11" x14ac:dyDescent="0.2">
      <c r="B137" s="7">
        <v>4</v>
      </c>
      <c r="C137" s="7">
        <v>1</v>
      </c>
      <c r="D137" s="7">
        <v>2</v>
      </c>
      <c r="E137" s="7" t="str">
        <f t="shared" si="27"/>
        <v>0x5042</v>
      </c>
      <c r="F137" s="7">
        <f t="shared" si="28"/>
        <v>20546</v>
      </c>
      <c r="G137" s="7" t="str">
        <f t="shared" si="29"/>
        <v>Very Severe</v>
      </c>
      <c r="H137" s="7" t="str">
        <f t="shared" si="30"/>
        <v>F41002</v>
      </c>
      <c r="I137" s="7" t="s">
        <v>52</v>
      </c>
      <c r="J137" s="13" t="s">
        <v>200</v>
      </c>
      <c r="K137" s="13" t="s">
        <v>201</v>
      </c>
    </row>
    <row r="138" spans="2:11" ht="33.75" x14ac:dyDescent="0.2">
      <c r="B138" s="7">
        <v>4</v>
      </c>
      <c r="C138" s="7">
        <v>1</v>
      </c>
      <c r="D138" s="7">
        <v>3</v>
      </c>
      <c r="E138" s="7" t="str">
        <f t="shared" si="27"/>
        <v>0x5043</v>
      </c>
      <c r="F138" s="7">
        <f t="shared" si="28"/>
        <v>20547</v>
      </c>
      <c r="G138" s="7" t="str">
        <f t="shared" si="29"/>
        <v>Very Severe</v>
      </c>
      <c r="H138" s="7" t="str">
        <f t="shared" si="30"/>
        <v>F41003</v>
      </c>
      <c r="I138" s="7" t="s">
        <v>53</v>
      </c>
      <c r="J138" s="13" t="s">
        <v>202</v>
      </c>
      <c r="K138" s="13" t="s">
        <v>203</v>
      </c>
    </row>
    <row r="139" spans="2:11" ht="22.5" x14ac:dyDescent="0.2">
      <c r="B139" s="7">
        <v>4</v>
      </c>
      <c r="C139" s="7">
        <v>1</v>
      </c>
      <c r="D139" s="7">
        <v>4</v>
      </c>
      <c r="E139" s="7" t="str">
        <f>IF(B139="","",CONCATENATE("0x",DEC2HEX(16384+(B139*1024)+(C139*64)+D139)))</f>
        <v>0x5044</v>
      </c>
      <c r="F139" s="7">
        <f t="shared" si="28"/>
        <v>20548</v>
      </c>
      <c r="G139" s="7" t="str">
        <f>IF(B139=1,"Warning",IF(B139=2,"Drive Inhibit",IF(B139=3,"Severe",IF(B139=4,"Very Severe",IF(B139=5,"Return to Base","")))))</f>
        <v>Very Severe</v>
      </c>
      <c r="H139" s="7" t="str">
        <f>IF(B139="","",CONCATENATE("F",B139*10000+(IF(C139&lt;10,C139*10,(C139-10)*10+1)*100+D139)))</f>
        <v>F41004</v>
      </c>
      <c r="I139" s="7" t="s">
        <v>54</v>
      </c>
      <c r="J139" s="13" t="s">
        <v>204</v>
      </c>
      <c r="K139" s="13" t="s">
        <v>205</v>
      </c>
    </row>
    <row r="140" spans="2:11" x14ac:dyDescent="0.2">
      <c r="B140" s="7">
        <v>4</v>
      </c>
      <c r="C140" s="7">
        <v>1</v>
      </c>
      <c r="D140" s="7">
        <v>5</v>
      </c>
      <c r="E140" s="7" t="str">
        <f t="shared" si="27"/>
        <v>0x5045</v>
      </c>
      <c r="F140" s="7">
        <f t="shared" si="28"/>
        <v>20549</v>
      </c>
      <c r="G140" s="7" t="str">
        <f t="shared" si="29"/>
        <v>Very Severe</v>
      </c>
      <c r="H140" s="7" t="str">
        <f t="shared" si="30"/>
        <v>F41005</v>
      </c>
      <c r="I140" s="7" t="s">
        <v>120</v>
      </c>
      <c r="J140" s="13" t="s">
        <v>206</v>
      </c>
      <c r="K140" s="13" t="s">
        <v>207</v>
      </c>
    </row>
    <row r="141" spans="2:11" x14ac:dyDescent="0.2">
      <c r="B141" s="7">
        <v>4</v>
      </c>
      <c r="C141" s="7">
        <v>1</v>
      </c>
      <c r="D141" s="7">
        <v>6</v>
      </c>
      <c r="E141" s="7" t="str">
        <f t="shared" si="27"/>
        <v>0x5046</v>
      </c>
      <c r="F141" s="7">
        <f t="shared" si="28"/>
        <v>20550</v>
      </c>
      <c r="G141" s="7" t="str">
        <f t="shared" si="29"/>
        <v>Very Severe</v>
      </c>
      <c r="H141" s="7" t="str">
        <f t="shared" si="30"/>
        <v>F41006</v>
      </c>
      <c r="I141" s="7" t="s">
        <v>344</v>
      </c>
      <c r="J141" s="12" t="s">
        <v>345</v>
      </c>
      <c r="K141" s="12" t="s">
        <v>346</v>
      </c>
    </row>
    <row r="142" spans="2:11" x14ac:dyDescent="0.2">
      <c r="B142" s="7">
        <v>4</v>
      </c>
      <c r="C142" s="7">
        <v>2</v>
      </c>
      <c r="D142" s="7">
        <v>1</v>
      </c>
      <c r="E142" s="7" t="str">
        <f t="shared" si="27"/>
        <v>0x5081</v>
      </c>
      <c r="F142" s="7">
        <f t="shared" si="28"/>
        <v>20609</v>
      </c>
      <c r="G142" s="7" t="str">
        <f t="shared" si="29"/>
        <v>Very Severe</v>
      </c>
      <c r="H142" s="7" t="str">
        <f t="shared" si="30"/>
        <v>F42001</v>
      </c>
      <c r="I142" s="7" t="s">
        <v>55</v>
      </c>
      <c r="J142" s="13" t="s">
        <v>208</v>
      </c>
      <c r="K142" s="13" t="s">
        <v>209</v>
      </c>
    </row>
    <row r="143" spans="2:11" x14ac:dyDescent="0.2">
      <c r="B143" s="7">
        <v>4</v>
      </c>
      <c r="C143" s="7">
        <v>4</v>
      </c>
      <c r="D143" s="7">
        <v>1</v>
      </c>
      <c r="E143" s="7" t="str">
        <f t="shared" si="27"/>
        <v>0x5101</v>
      </c>
      <c r="F143" s="7">
        <f t="shared" si="28"/>
        <v>20737</v>
      </c>
      <c r="G143" s="7" t="str">
        <f t="shared" si="29"/>
        <v>Very Severe</v>
      </c>
      <c r="H143" s="7" t="str">
        <f t="shared" si="30"/>
        <v>F44001</v>
      </c>
      <c r="I143" s="7" t="s">
        <v>56</v>
      </c>
      <c r="J143" s="13" t="s">
        <v>210</v>
      </c>
      <c r="K143" s="13" t="s">
        <v>211</v>
      </c>
    </row>
    <row r="144" spans="2:11" x14ac:dyDescent="0.2">
      <c r="B144" s="7">
        <v>4</v>
      </c>
      <c r="C144" s="7">
        <v>4</v>
      </c>
      <c r="D144" s="7">
        <v>2</v>
      </c>
      <c r="E144" s="7" t="str">
        <f t="shared" si="27"/>
        <v>0x5102</v>
      </c>
      <c r="F144" s="7">
        <f t="shared" si="28"/>
        <v>20738</v>
      </c>
      <c r="G144" s="7" t="str">
        <f t="shared" si="29"/>
        <v>Very Severe</v>
      </c>
      <c r="H144" s="7" t="str">
        <f t="shared" si="30"/>
        <v>F44002</v>
      </c>
      <c r="I144" s="7" t="s">
        <v>57</v>
      </c>
      <c r="J144" s="13" t="s">
        <v>212</v>
      </c>
      <c r="K144" s="13" t="s">
        <v>211</v>
      </c>
    </row>
    <row r="145" spans="2:11" ht="22.5" x14ac:dyDescent="0.2">
      <c r="B145" s="7">
        <v>4</v>
      </c>
      <c r="C145" s="7">
        <v>5</v>
      </c>
      <c r="D145" s="7">
        <v>1</v>
      </c>
      <c r="E145" s="7" t="str">
        <f>IF(B145="","",CONCATENATE("0x",DEC2HEX(16384+(B145*1024)+(C145*64)+D145)))</f>
        <v>0x5141</v>
      </c>
      <c r="F145" s="7">
        <f t="shared" si="28"/>
        <v>20801</v>
      </c>
      <c r="G145" s="7" t="str">
        <f>IF(B145=1,"Warning",IF(B145=2,"Drive Inhibit",IF(B145=3,"Severe",IF(B145=4,"Very Severe",IF(B145=5,"Return to Base","")))))</f>
        <v>Very Severe</v>
      </c>
      <c r="H145" s="7" t="str">
        <f>IF(B145="","",CONCATENATE("F",B145*10000+(IF(C145&lt;10,C145*10,(C145-10)*10+1)*100+D145)))</f>
        <v>F45001</v>
      </c>
      <c r="I145" s="7" t="s">
        <v>273</v>
      </c>
      <c r="J145" s="12" t="s">
        <v>274</v>
      </c>
      <c r="K145" s="12" t="s">
        <v>275</v>
      </c>
    </row>
    <row r="146" spans="2:11" x14ac:dyDescent="0.2">
      <c r="B146" s="7">
        <v>4</v>
      </c>
      <c r="C146" s="7">
        <v>5</v>
      </c>
      <c r="D146" s="7">
        <v>2</v>
      </c>
      <c r="E146" s="7" t="str">
        <f>IF(B146="","",CONCATENATE("0x",DEC2HEX(16384+(B146*1024)+(C146*64)+D146)))</f>
        <v>0x5142</v>
      </c>
      <c r="F146" s="7">
        <f t="shared" si="28"/>
        <v>20802</v>
      </c>
      <c r="G146" s="7" t="str">
        <f>IF(B146=1,"Warning",IF(B146=2,"Drive Inhibit",IF(B146=3,"Severe",IF(B146=4,"Very Severe",IF(B146=5,"Return to Base","")))))</f>
        <v>Very Severe</v>
      </c>
      <c r="H146" s="7" t="str">
        <f>IF(B146="","",CONCATENATE("F",B146*10000+(IF(C146&lt;10,C146*10,(C146-10)*10+1)*100+D146)))</f>
        <v>F45002</v>
      </c>
      <c r="I146" s="7" t="s">
        <v>280</v>
      </c>
      <c r="J146" s="12" t="s">
        <v>458</v>
      </c>
      <c r="K146" s="12" t="s">
        <v>459</v>
      </c>
    </row>
    <row r="147" spans="2:11" x14ac:dyDescent="0.2">
      <c r="B147" s="7">
        <v>4</v>
      </c>
      <c r="C147" s="7">
        <v>5</v>
      </c>
      <c r="D147" s="7">
        <v>3</v>
      </c>
      <c r="E147" s="7" t="str">
        <f>IF(B147="","",CONCATENATE("0x",DEC2HEX(16384+(B147*1024)+(C147*64)+D147)))</f>
        <v>0x5143</v>
      </c>
      <c r="F147" s="7">
        <f t="shared" si="28"/>
        <v>20803</v>
      </c>
      <c r="G147" s="7" t="str">
        <f>IF(B147=1,"Warning",IF(B147=2,"Drive Inhibit",IF(B147=3,"Severe",IF(B147=4,"Very Severe",IF(B147=5,"Return to Base","")))))</f>
        <v>Very Severe</v>
      </c>
      <c r="H147" s="7" t="str">
        <f>IF(B147="","",CONCATENATE("F",B147*10000+(IF(C147&lt;10,C147*10,(C147-10)*10+1)*100+D147)))</f>
        <v>F45003</v>
      </c>
      <c r="I147" s="7" t="s">
        <v>285</v>
      </c>
      <c r="J147" s="12" t="s">
        <v>286</v>
      </c>
      <c r="K147" s="12" t="s">
        <v>459</v>
      </c>
    </row>
    <row r="148" spans="2:11" x14ac:dyDescent="0.2">
      <c r="B148" s="7">
        <v>4</v>
      </c>
      <c r="C148" s="7">
        <v>6</v>
      </c>
      <c r="D148" s="7">
        <v>1</v>
      </c>
      <c r="E148" s="7" t="str">
        <f t="shared" si="27"/>
        <v>0x5181</v>
      </c>
      <c r="F148" s="7">
        <f t="shared" si="28"/>
        <v>20865</v>
      </c>
      <c r="G148" s="7" t="str">
        <f t="shared" si="29"/>
        <v>Very Severe</v>
      </c>
      <c r="H148" s="7" t="str">
        <f t="shared" si="30"/>
        <v>F46001</v>
      </c>
      <c r="I148" s="7" t="s">
        <v>58</v>
      </c>
      <c r="J148" s="13" t="s">
        <v>213</v>
      </c>
      <c r="K148" s="13" t="s">
        <v>214</v>
      </c>
    </row>
    <row r="149" spans="2:11" x14ac:dyDescent="0.2">
      <c r="B149" s="7">
        <v>4</v>
      </c>
      <c r="C149" s="7">
        <v>6</v>
      </c>
      <c r="D149" s="7">
        <v>2</v>
      </c>
      <c r="E149" s="7" t="str">
        <f t="shared" si="27"/>
        <v>0x5182</v>
      </c>
      <c r="F149" s="7">
        <f t="shared" si="28"/>
        <v>20866</v>
      </c>
      <c r="G149" s="7" t="str">
        <f t="shared" si="29"/>
        <v>Very Severe</v>
      </c>
      <c r="H149" s="7" t="str">
        <f t="shared" si="30"/>
        <v>F46002</v>
      </c>
      <c r="I149" s="7" t="s">
        <v>59</v>
      </c>
      <c r="J149" s="13" t="s">
        <v>215</v>
      </c>
      <c r="K149" s="13" t="s">
        <v>214</v>
      </c>
    </row>
    <row r="150" spans="2:11" ht="22.5" x14ac:dyDescent="0.2">
      <c r="B150" s="7">
        <v>4</v>
      </c>
      <c r="C150" s="7">
        <v>6</v>
      </c>
      <c r="D150" s="7">
        <v>3</v>
      </c>
      <c r="E150" s="7" t="str">
        <f t="shared" si="27"/>
        <v>0x5183</v>
      </c>
      <c r="F150" s="7">
        <f t="shared" si="28"/>
        <v>20867</v>
      </c>
      <c r="G150" s="7" t="str">
        <f t="shared" si="29"/>
        <v>Very Severe</v>
      </c>
      <c r="H150" s="7" t="str">
        <f t="shared" si="30"/>
        <v>F46003</v>
      </c>
      <c r="I150" s="7" t="s">
        <v>60</v>
      </c>
      <c r="J150" s="13" t="s">
        <v>216</v>
      </c>
      <c r="K150" s="13" t="s">
        <v>217</v>
      </c>
    </row>
    <row r="151" spans="2:11" x14ac:dyDescent="0.2">
      <c r="B151" s="7">
        <v>4</v>
      </c>
      <c r="C151" s="7">
        <v>6</v>
      </c>
      <c r="D151" s="7">
        <v>4</v>
      </c>
      <c r="E151" s="7" t="str">
        <f t="shared" si="27"/>
        <v>0x5184</v>
      </c>
      <c r="F151" s="7">
        <f t="shared" si="28"/>
        <v>20868</v>
      </c>
      <c r="G151" s="7" t="str">
        <f t="shared" si="29"/>
        <v>Very Severe</v>
      </c>
      <c r="H151" s="7" t="str">
        <f t="shared" si="30"/>
        <v>F46004</v>
      </c>
      <c r="I151" s="7" t="s">
        <v>62</v>
      </c>
      <c r="J151" s="13" t="s">
        <v>218</v>
      </c>
      <c r="K151" s="13" t="s">
        <v>194</v>
      </c>
    </row>
    <row r="152" spans="2:11" x14ac:dyDescent="0.2">
      <c r="B152" s="7">
        <v>4</v>
      </c>
      <c r="C152" s="7">
        <v>6</v>
      </c>
      <c r="D152" s="7">
        <v>5</v>
      </c>
      <c r="E152" s="7" t="str">
        <f t="shared" si="27"/>
        <v>0x5185</v>
      </c>
      <c r="F152" s="7">
        <f t="shared" si="28"/>
        <v>20869</v>
      </c>
      <c r="G152" s="7" t="str">
        <f t="shared" si="29"/>
        <v>Very Severe</v>
      </c>
      <c r="H152" s="7" t="str">
        <f t="shared" si="30"/>
        <v>F46005</v>
      </c>
      <c r="I152" s="7" t="s">
        <v>61</v>
      </c>
      <c r="J152" s="13" t="s">
        <v>219</v>
      </c>
      <c r="K152" s="13" t="s">
        <v>194</v>
      </c>
    </row>
    <row r="153" spans="2:11" ht="22.5" x14ac:dyDescent="0.2">
      <c r="B153" s="7">
        <v>4</v>
      </c>
      <c r="C153" s="7">
        <v>6</v>
      </c>
      <c r="D153" s="7">
        <v>6</v>
      </c>
      <c r="E153" s="7" t="str">
        <f t="shared" si="27"/>
        <v>0x5186</v>
      </c>
      <c r="F153" s="7">
        <f t="shared" si="28"/>
        <v>20870</v>
      </c>
      <c r="G153" s="7" t="str">
        <f>IF(B153=1,"Warning",IF(B153=2,"Drive Inhibit",IF(B153=3,"Severe",IF(B153=4,"Very Severe",IF(B153=5,"Return to Base","")))))</f>
        <v>Very Severe</v>
      </c>
      <c r="H153" s="7" t="str">
        <f>IF(B153="","",CONCATENATE("F",B153*10000+(IF(C153&lt;10,C153*10,(C153-10)*10+1)*100+D153)))</f>
        <v>F46006</v>
      </c>
      <c r="I153" s="7" t="s">
        <v>259</v>
      </c>
      <c r="J153" s="13" t="s">
        <v>260</v>
      </c>
      <c r="K153" s="13" t="s">
        <v>217</v>
      </c>
    </row>
    <row r="154" spans="2:11" ht="22.5" x14ac:dyDescent="0.2">
      <c r="B154" s="7">
        <v>4</v>
      </c>
      <c r="C154" s="7">
        <v>6</v>
      </c>
      <c r="D154" s="7">
        <v>7</v>
      </c>
      <c r="E154" s="7" t="str">
        <f t="shared" ref="E154:E194" si="31">IF(B154="","",CONCATENATE("0x",DEC2HEX(16384+(B154*1024)+(C154*64)+D154)))</f>
        <v>0x5187</v>
      </c>
      <c r="F154" s="7">
        <f t="shared" si="28"/>
        <v>20871</v>
      </c>
      <c r="G154" s="7" t="str">
        <f>IF(B154=1,"Warning",IF(B154=2,"Drive Inhibit",IF(B154=3,"Severe",IF(B154=4,"Very Severe",IF(B154=5,"Return to Base","")))))</f>
        <v>Very Severe</v>
      </c>
      <c r="H154" s="7" t="str">
        <f>IF(B154="","",CONCATENATE("F",B154*10000+(IF(C154&lt;10,C154*10,(C154-10)*10+1)*100+D154)))</f>
        <v>F46007</v>
      </c>
      <c r="I154" s="7" t="s">
        <v>111</v>
      </c>
      <c r="J154" s="13" t="s">
        <v>220</v>
      </c>
      <c r="K154" s="13" t="s">
        <v>221</v>
      </c>
    </row>
    <row r="155" spans="2:11" x14ac:dyDescent="0.2">
      <c r="B155" s="7">
        <v>4</v>
      </c>
      <c r="C155" s="7">
        <v>6</v>
      </c>
      <c r="D155" s="7">
        <v>8</v>
      </c>
      <c r="E155" s="7" t="str">
        <f>IF(B155="","",CONCATENATE("0x",DEC2HEX(16384+(B155*1024)+(C155*64)+D155)))</f>
        <v>0x5188</v>
      </c>
      <c r="F155" s="7">
        <f t="shared" si="28"/>
        <v>20872</v>
      </c>
      <c r="G155" s="7" t="str">
        <f>IF(B155=1,"Warning",IF(B155=2,"Drive Inhibit",IF(B155=3,"Severe",IF(B155=4,"Very Severe",IF(B155=5,"Return to Base","")))))</f>
        <v>Very Severe</v>
      </c>
      <c r="H155" s="7" t="str">
        <f>IF(B155="","",CONCATENATE("F",B155*10000+(IF(C155&lt;10,C155*10,(C155-10)*10+1)*100+D155)))</f>
        <v>F46008</v>
      </c>
      <c r="I155" s="7" t="s">
        <v>261</v>
      </c>
      <c r="J155" s="13" t="s">
        <v>262</v>
      </c>
      <c r="K155" s="13" t="s">
        <v>194</v>
      </c>
    </row>
    <row r="156" spans="2:11" x14ac:dyDescent="0.2">
      <c r="B156" s="7">
        <v>4</v>
      </c>
      <c r="C156" s="7">
        <v>7</v>
      </c>
      <c r="D156" s="7">
        <v>1</v>
      </c>
      <c r="E156" s="7" t="str">
        <f t="shared" si="31"/>
        <v>0x51C1</v>
      </c>
      <c r="F156" s="7">
        <f t="shared" si="28"/>
        <v>20929</v>
      </c>
      <c r="G156" s="7" t="str">
        <f t="shared" si="29"/>
        <v>Very Severe</v>
      </c>
      <c r="H156" s="7" t="str">
        <f t="shared" si="30"/>
        <v>F47001</v>
      </c>
      <c r="I156" s="7" t="s">
        <v>63</v>
      </c>
      <c r="J156" s="13" t="s">
        <v>176</v>
      </c>
      <c r="K156" s="12"/>
    </row>
    <row r="157" spans="2:11" ht="22.5" x14ac:dyDescent="0.2">
      <c r="B157" s="7">
        <v>4</v>
      </c>
      <c r="C157" s="7">
        <v>7</v>
      </c>
      <c r="D157" s="7">
        <v>2</v>
      </c>
      <c r="E157" s="7" t="str">
        <f t="shared" si="31"/>
        <v>0x51C2</v>
      </c>
      <c r="F157" s="7">
        <f t="shared" si="28"/>
        <v>20930</v>
      </c>
      <c r="G157" s="7" t="str">
        <f t="shared" si="29"/>
        <v>Very Severe</v>
      </c>
      <c r="H157" s="7" t="str">
        <f t="shared" si="30"/>
        <v>F47002</v>
      </c>
      <c r="I157" s="7" t="s">
        <v>64</v>
      </c>
      <c r="J157" s="13" t="s">
        <v>222</v>
      </c>
      <c r="K157" s="13" t="s">
        <v>223</v>
      </c>
    </row>
    <row r="158" spans="2:11" ht="22.5" x14ac:dyDescent="0.2">
      <c r="B158" s="7">
        <v>4</v>
      </c>
      <c r="C158" s="7">
        <v>7</v>
      </c>
      <c r="D158" s="7">
        <v>3</v>
      </c>
      <c r="E158" s="7" t="str">
        <f t="shared" si="31"/>
        <v>0x51C3</v>
      </c>
      <c r="F158" s="7">
        <f t="shared" si="28"/>
        <v>20931</v>
      </c>
      <c r="G158" s="7" t="str">
        <f t="shared" si="29"/>
        <v>Very Severe</v>
      </c>
      <c r="H158" s="7" t="str">
        <f t="shared" si="30"/>
        <v>F47003</v>
      </c>
      <c r="I158" s="7" t="s">
        <v>422</v>
      </c>
      <c r="J158" s="12" t="s">
        <v>423</v>
      </c>
      <c r="K158" s="12" t="s">
        <v>421</v>
      </c>
    </row>
    <row r="159" spans="2:11" ht="22.5" x14ac:dyDescent="0.2">
      <c r="B159" s="7">
        <v>4</v>
      </c>
      <c r="C159" s="7">
        <v>8</v>
      </c>
      <c r="D159" s="7">
        <v>1</v>
      </c>
      <c r="E159" s="7" t="str">
        <f t="shared" si="31"/>
        <v>0x5201</v>
      </c>
      <c r="F159" s="7">
        <f t="shared" si="28"/>
        <v>20993</v>
      </c>
      <c r="G159" s="7" t="str">
        <f t="shared" si="29"/>
        <v>Very Severe</v>
      </c>
      <c r="H159" s="7" t="str">
        <f t="shared" si="30"/>
        <v>F48001</v>
      </c>
      <c r="I159" s="7" t="s">
        <v>267</v>
      </c>
      <c r="J159" s="13" t="s">
        <v>268</v>
      </c>
      <c r="K159" s="13" t="s">
        <v>138</v>
      </c>
    </row>
    <row r="160" spans="2:11" x14ac:dyDescent="0.2">
      <c r="B160" s="7">
        <v>4</v>
      </c>
      <c r="C160" s="7">
        <v>11</v>
      </c>
      <c r="D160" s="7">
        <v>1</v>
      </c>
      <c r="E160" s="7" t="str">
        <f t="shared" si="31"/>
        <v>0x52C1</v>
      </c>
      <c r="F160" s="7">
        <f t="shared" si="28"/>
        <v>21185</v>
      </c>
      <c r="G160" s="7" t="str">
        <f t="shared" si="29"/>
        <v>Very Severe</v>
      </c>
      <c r="H160" s="7" t="str">
        <f t="shared" si="30"/>
        <v>F41101</v>
      </c>
      <c r="I160" s="7" t="s">
        <v>434</v>
      </c>
      <c r="J160" s="13" t="s">
        <v>224</v>
      </c>
      <c r="K160" s="13" t="s">
        <v>225</v>
      </c>
    </row>
    <row r="161" spans="2:11" x14ac:dyDescent="0.2">
      <c r="B161" s="7">
        <v>4</v>
      </c>
      <c r="C161" s="7">
        <v>11</v>
      </c>
      <c r="D161" s="7">
        <v>2</v>
      </c>
      <c r="E161" s="7" t="str">
        <f>IF(B161="","",CONCATENATE("0x",DEC2HEX(16384+(B161*1024)+(C161*64)+D161)))</f>
        <v>0x52C2</v>
      </c>
      <c r="F161" s="7">
        <f t="shared" si="28"/>
        <v>21186</v>
      </c>
      <c r="G161" s="7" t="str">
        <f>IF(B161=1,"Warning",IF(B161=2,"Drive Inhibit",IF(B161=3,"Severe",IF(B161=4,"Very Severe",IF(B161=5,"Return to Base","")))))</f>
        <v>Very Severe</v>
      </c>
      <c r="H161" s="7" t="str">
        <f>IF(B161="","",CONCATENATE("F",B161*10000+(IF(C161&lt;10,C161*10,(C161-10)*10+1)*100+D161)))</f>
        <v>F41102</v>
      </c>
      <c r="I161" s="7" t="s">
        <v>433</v>
      </c>
      <c r="J161" s="13" t="s">
        <v>226</v>
      </c>
      <c r="K161" s="13" t="s">
        <v>227</v>
      </c>
    </row>
    <row r="162" spans="2:11" ht="22.5" x14ac:dyDescent="0.2">
      <c r="B162" s="7">
        <v>4</v>
      </c>
      <c r="C162" s="7">
        <v>11</v>
      </c>
      <c r="D162" s="7">
        <v>3</v>
      </c>
      <c r="E162" s="7" t="str">
        <f t="shared" si="31"/>
        <v>0x52C3</v>
      </c>
      <c r="F162" s="7">
        <f t="shared" si="28"/>
        <v>21187</v>
      </c>
      <c r="G162" s="7" t="str">
        <f t="shared" si="29"/>
        <v>Very Severe</v>
      </c>
      <c r="H162" s="7" t="str">
        <f t="shared" si="30"/>
        <v>F41103</v>
      </c>
      <c r="I162" s="7" t="s">
        <v>432</v>
      </c>
      <c r="J162" s="12" t="s">
        <v>431</v>
      </c>
      <c r="K162" s="12" t="s">
        <v>269</v>
      </c>
    </row>
    <row r="163" spans="2:11" ht="22.5" x14ac:dyDescent="0.2">
      <c r="B163" s="7">
        <v>4</v>
      </c>
      <c r="C163" s="7">
        <v>11</v>
      </c>
      <c r="D163" s="7">
        <v>4</v>
      </c>
      <c r="E163" s="7" t="str">
        <f>IF(B163="","",CONCATENATE("0x",DEC2HEX(16384+(B163*1024)+(C163*64)+D163)))</f>
        <v>0x52C4</v>
      </c>
      <c r="F163" s="7">
        <f t="shared" si="28"/>
        <v>21188</v>
      </c>
      <c r="G163" s="7" t="str">
        <f>IF(B163=1,"Warning",IF(B163=2,"Drive Inhibit",IF(B163=3,"Severe",IF(B163=4,"Very Severe",IF(B163=5,"Return to Base","")))))</f>
        <v>Very Severe</v>
      </c>
      <c r="H163" s="7" t="str">
        <f>IF(B163="","",CONCATENATE("F",B163*10000+(IF(C163&lt;10,C163*10,(C163-10)*10+1)*100+D163)))</f>
        <v>F41104</v>
      </c>
      <c r="I163" s="7" t="s">
        <v>276</v>
      </c>
      <c r="J163" s="12" t="s">
        <v>277</v>
      </c>
      <c r="K163" s="12" t="s">
        <v>269</v>
      </c>
    </row>
    <row r="164" spans="2:11" x14ac:dyDescent="0.2">
      <c r="B164" s="7">
        <v>4</v>
      </c>
      <c r="C164" s="7">
        <v>11</v>
      </c>
      <c r="D164" s="7">
        <v>5</v>
      </c>
      <c r="E164" s="7" t="str">
        <f>IF(B164="","",CONCATENATE("0x",DEC2HEX(16384+(B164*1024)+(C164*64)+D164)))</f>
        <v>0x52C5</v>
      </c>
      <c r="F164" s="7">
        <f t="shared" si="28"/>
        <v>21189</v>
      </c>
      <c r="G164" s="7" t="str">
        <f>IF(B164=1,"Warning",IF(B164=2,"Drive Inhibit",IF(B164=3,"Severe",IF(B164=4,"Very Severe",IF(B164=5,"Return to Base","")))))</f>
        <v>Very Severe</v>
      </c>
      <c r="H164" s="7" t="str">
        <f>IF(B164="","",CONCATENATE("F",B164*10000+(IF(C164&lt;10,C164*10,(C164-10)*10+1)*100+D164)))</f>
        <v>F41105</v>
      </c>
      <c r="I164" s="7" t="s">
        <v>312</v>
      </c>
      <c r="J164" s="12" t="s">
        <v>302</v>
      </c>
      <c r="K164" s="12" t="s">
        <v>303</v>
      </c>
    </row>
    <row r="165" spans="2:11" ht="22.5" x14ac:dyDescent="0.2">
      <c r="B165" s="7">
        <v>4</v>
      </c>
      <c r="C165" s="7">
        <v>11</v>
      </c>
      <c r="D165" s="7">
        <v>6</v>
      </c>
      <c r="E165" s="7" t="str">
        <f>IF(B165="","",CONCATENATE("0x",DEC2HEX(16384+(B165*1024)+(C165*64)+D165)))</f>
        <v>0x52C6</v>
      </c>
      <c r="F165" s="7">
        <f t="shared" si="28"/>
        <v>21190</v>
      </c>
      <c r="G165" s="7" t="str">
        <f>IF(B165=1,"Warning",IF(B165=2,"Drive Inhibit",IF(B165=3,"Severe",IF(B165=4,"Very Severe",IF(B165=5,"Return to Base","")))))</f>
        <v>Very Severe</v>
      </c>
      <c r="H165" s="7" t="str">
        <f>IF(B165="","",CONCATENATE("F",B165*10000+(IF(C165&lt;10,C165*10,(C165-10)*10+1)*100+D165)))</f>
        <v>F41106</v>
      </c>
      <c r="I165" s="7" t="s">
        <v>380</v>
      </c>
      <c r="J165" s="12" t="s">
        <v>381</v>
      </c>
      <c r="K165" s="12" t="s">
        <v>379</v>
      </c>
    </row>
    <row r="166" spans="2:11" ht="22.5" x14ac:dyDescent="0.2">
      <c r="B166" s="7">
        <v>4</v>
      </c>
      <c r="C166" s="7">
        <v>11</v>
      </c>
      <c r="D166" s="7">
        <v>7</v>
      </c>
      <c r="E166" s="7" t="str">
        <f>IF(B166="","",CONCATENATE("0x",DEC2HEX(16384+(B166*1024)+(C166*64)+D166)))</f>
        <v>0x52C7</v>
      </c>
      <c r="F166" s="7">
        <f t="shared" si="28"/>
        <v>21191</v>
      </c>
      <c r="G166" s="7" t="str">
        <f>IF(B166=1,"Warning",IF(B166=2,"Drive Inhibit",IF(B166=3,"Severe",IF(B166=4,"Very Severe",IF(B166=5,"Return to Base","")))))</f>
        <v>Very Severe</v>
      </c>
      <c r="H166" s="7" t="str">
        <f>IF(B166="","",CONCATENATE("F",B166*10000+(IF(C166&lt;10,C166*10,(C166-10)*10+1)*100+D166)))</f>
        <v>F41107</v>
      </c>
      <c r="I166" s="7" t="s">
        <v>416</v>
      </c>
      <c r="J166" s="12" t="s">
        <v>415</v>
      </c>
      <c r="K166" s="13" t="s">
        <v>241</v>
      </c>
    </row>
    <row r="167" spans="2:11" x14ac:dyDescent="0.2">
      <c r="B167" s="7">
        <v>4</v>
      </c>
      <c r="C167" s="7">
        <v>12</v>
      </c>
      <c r="D167" s="7">
        <v>1</v>
      </c>
      <c r="E167" s="7" t="str">
        <f t="shared" si="31"/>
        <v>0x5301</v>
      </c>
      <c r="F167" s="7">
        <f t="shared" si="28"/>
        <v>21249</v>
      </c>
      <c r="G167" s="7" t="str">
        <f t="shared" si="29"/>
        <v>Very Severe</v>
      </c>
      <c r="H167" s="7" t="str">
        <f t="shared" si="30"/>
        <v>F42101</v>
      </c>
      <c r="I167" s="7" t="s">
        <v>65</v>
      </c>
      <c r="J167" s="13" t="s">
        <v>228</v>
      </c>
      <c r="K167" s="13" t="s">
        <v>182</v>
      </c>
    </row>
    <row r="168" spans="2:11" ht="22.5" x14ac:dyDescent="0.2">
      <c r="B168" s="7">
        <v>4</v>
      </c>
      <c r="C168" s="7">
        <v>12</v>
      </c>
      <c r="D168" s="7">
        <v>2</v>
      </c>
      <c r="E168" s="7" t="str">
        <f t="shared" si="31"/>
        <v>0x5302</v>
      </c>
      <c r="F168" s="7">
        <f t="shared" si="28"/>
        <v>21250</v>
      </c>
      <c r="G168" s="7" t="str">
        <f t="shared" si="29"/>
        <v>Very Severe</v>
      </c>
      <c r="H168" s="7" t="str">
        <f t="shared" si="30"/>
        <v>F42102</v>
      </c>
      <c r="I168" s="7" t="s">
        <v>66</v>
      </c>
      <c r="J168" s="13" t="s">
        <v>229</v>
      </c>
      <c r="K168" s="13" t="s">
        <v>186</v>
      </c>
    </row>
    <row r="169" spans="2:11" x14ac:dyDescent="0.2">
      <c r="B169" s="7">
        <v>4</v>
      </c>
      <c r="C169" s="7">
        <v>12</v>
      </c>
      <c r="D169" s="7">
        <v>3</v>
      </c>
      <c r="E169" s="7" t="str">
        <f t="shared" si="31"/>
        <v>0x5303</v>
      </c>
      <c r="F169" s="7">
        <f t="shared" si="28"/>
        <v>21251</v>
      </c>
      <c r="G169" s="7" t="str">
        <f t="shared" si="29"/>
        <v>Very Severe</v>
      </c>
      <c r="H169" s="7" t="str">
        <f t="shared" si="30"/>
        <v>F42103</v>
      </c>
      <c r="I169" s="7" t="s">
        <v>67</v>
      </c>
      <c r="J169" s="13" t="s">
        <v>228</v>
      </c>
      <c r="K169" s="13" t="s">
        <v>182</v>
      </c>
    </row>
    <row r="170" spans="2:11" x14ac:dyDescent="0.2">
      <c r="B170" s="7">
        <v>4</v>
      </c>
      <c r="C170" s="7">
        <v>12</v>
      </c>
      <c r="D170" s="7">
        <v>4</v>
      </c>
      <c r="E170" s="7" t="str">
        <f t="shared" si="31"/>
        <v>0x5304</v>
      </c>
      <c r="F170" s="7">
        <f t="shared" si="28"/>
        <v>21252</v>
      </c>
      <c r="G170" s="7" t="str">
        <f t="shared" si="29"/>
        <v>Very Severe</v>
      </c>
      <c r="H170" s="7" t="str">
        <f t="shared" si="30"/>
        <v>F42104</v>
      </c>
      <c r="I170" s="7" t="s">
        <v>68</v>
      </c>
      <c r="J170" s="13" t="s">
        <v>228</v>
      </c>
      <c r="K170" s="13" t="s">
        <v>182</v>
      </c>
    </row>
    <row r="171" spans="2:11" x14ac:dyDescent="0.2">
      <c r="B171" s="7">
        <v>4</v>
      </c>
      <c r="C171" s="7">
        <v>12</v>
      </c>
      <c r="D171" s="7">
        <v>5</v>
      </c>
      <c r="E171" s="7" t="str">
        <f t="shared" si="31"/>
        <v>0x5305</v>
      </c>
      <c r="F171" s="7">
        <f t="shared" si="28"/>
        <v>21253</v>
      </c>
      <c r="G171" s="7" t="str">
        <f t="shared" si="29"/>
        <v>Very Severe</v>
      </c>
      <c r="H171" s="7" t="str">
        <f t="shared" si="30"/>
        <v>F42105</v>
      </c>
      <c r="I171" s="7" t="s">
        <v>69</v>
      </c>
      <c r="J171" s="13" t="s">
        <v>228</v>
      </c>
      <c r="K171" s="13" t="s">
        <v>182</v>
      </c>
    </row>
    <row r="172" spans="2:11" x14ac:dyDescent="0.2">
      <c r="B172" s="7">
        <v>4</v>
      </c>
      <c r="C172" s="7">
        <v>12</v>
      </c>
      <c r="D172" s="7">
        <v>6</v>
      </c>
      <c r="E172" s="7" t="str">
        <f t="shared" si="31"/>
        <v>0x5306</v>
      </c>
      <c r="F172" s="7">
        <f t="shared" si="28"/>
        <v>21254</v>
      </c>
      <c r="G172" s="7" t="str">
        <f t="shared" si="29"/>
        <v>Very Severe</v>
      </c>
      <c r="H172" s="7" t="str">
        <f t="shared" si="30"/>
        <v>F42106</v>
      </c>
      <c r="I172" s="7" t="s">
        <v>70</v>
      </c>
      <c r="J172" s="13" t="s">
        <v>228</v>
      </c>
      <c r="K172" s="13" t="s">
        <v>182</v>
      </c>
    </row>
    <row r="173" spans="2:11" x14ac:dyDescent="0.2">
      <c r="B173" s="7">
        <v>4</v>
      </c>
      <c r="C173" s="7">
        <v>12</v>
      </c>
      <c r="D173" s="7">
        <v>7</v>
      </c>
      <c r="E173" s="7" t="str">
        <f t="shared" si="31"/>
        <v>0x5307</v>
      </c>
      <c r="F173" s="7">
        <f t="shared" si="28"/>
        <v>21255</v>
      </c>
      <c r="G173" s="7" t="str">
        <f t="shared" si="29"/>
        <v>Very Severe</v>
      </c>
      <c r="H173" s="7" t="str">
        <f t="shared" si="30"/>
        <v>F42107</v>
      </c>
      <c r="I173" s="7" t="s">
        <v>71</v>
      </c>
      <c r="J173" s="13" t="s">
        <v>228</v>
      </c>
      <c r="K173" s="13" t="s">
        <v>182</v>
      </c>
    </row>
    <row r="174" spans="2:11" x14ac:dyDescent="0.2">
      <c r="B174" s="7">
        <v>4</v>
      </c>
      <c r="C174" s="7">
        <v>12</v>
      </c>
      <c r="D174" s="7">
        <v>8</v>
      </c>
      <c r="E174" s="7" t="str">
        <f t="shared" si="31"/>
        <v>0x5308</v>
      </c>
      <c r="F174" s="7">
        <f t="shared" si="28"/>
        <v>21256</v>
      </c>
      <c r="G174" s="7" t="str">
        <f t="shared" si="29"/>
        <v>Very Severe</v>
      </c>
      <c r="H174" s="7" t="str">
        <f t="shared" si="30"/>
        <v>F42108</v>
      </c>
      <c r="I174" s="7" t="s">
        <v>72</v>
      </c>
      <c r="J174" s="13" t="s">
        <v>228</v>
      </c>
      <c r="K174" s="13" t="s">
        <v>182</v>
      </c>
    </row>
    <row r="175" spans="2:11" x14ac:dyDescent="0.2">
      <c r="B175" s="7">
        <v>4</v>
      </c>
      <c r="C175" s="7">
        <v>12</v>
      </c>
      <c r="D175" s="7">
        <v>9</v>
      </c>
      <c r="E175" s="7" t="str">
        <f t="shared" si="31"/>
        <v>0x5309</v>
      </c>
      <c r="F175" s="7">
        <f t="shared" si="28"/>
        <v>21257</v>
      </c>
      <c r="G175" s="7" t="str">
        <f t="shared" si="29"/>
        <v>Very Severe</v>
      </c>
      <c r="H175" s="7" t="str">
        <f t="shared" si="30"/>
        <v>F42109</v>
      </c>
      <c r="I175" s="7" t="s">
        <v>73</v>
      </c>
      <c r="J175" s="13" t="s">
        <v>176</v>
      </c>
      <c r="K175" s="13"/>
    </row>
    <row r="176" spans="2:11" ht="22.5" x14ac:dyDescent="0.2">
      <c r="B176" s="7">
        <v>4</v>
      </c>
      <c r="C176" s="7">
        <v>12</v>
      </c>
      <c r="D176" s="7">
        <v>10</v>
      </c>
      <c r="E176" s="7" t="str">
        <f t="shared" si="31"/>
        <v>0x530A</v>
      </c>
      <c r="F176" s="7">
        <f t="shared" si="28"/>
        <v>21258</v>
      </c>
      <c r="G176" s="7" t="str">
        <f t="shared" si="29"/>
        <v>Very Severe</v>
      </c>
      <c r="H176" s="7" t="str">
        <f t="shared" si="30"/>
        <v>F42110</v>
      </c>
      <c r="I176" s="7" t="s">
        <v>74</v>
      </c>
      <c r="J176" s="13" t="s">
        <v>230</v>
      </c>
      <c r="K176" s="13" t="s">
        <v>144</v>
      </c>
    </row>
    <row r="177" spans="2:11" x14ac:dyDescent="0.2">
      <c r="B177" s="7">
        <v>4</v>
      </c>
      <c r="C177" s="7">
        <v>12</v>
      </c>
      <c r="D177" s="7">
        <v>11</v>
      </c>
      <c r="E177" s="7" t="str">
        <f t="shared" si="31"/>
        <v>0x530B</v>
      </c>
      <c r="F177" s="7">
        <f t="shared" si="28"/>
        <v>21259</v>
      </c>
      <c r="G177" s="7" t="str">
        <f t="shared" si="29"/>
        <v>Very Severe</v>
      </c>
      <c r="H177" s="7" t="str">
        <f t="shared" si="30"/>
        <v>F42111</v>
      </c>
      <c r="I177" s="7" t="s">
        <v>75</v>
      </c>
      <c r="J177" s="13" t="s">
        <v>231</v>
      </c>
      <c r="K177" s="13" t="s">
        <v>186</v>
      </c>
    </row>
    <row r="178" spans="2:11" x14ac:dyDescent="0.2">
      <c r="B178" s="7">
        <v>4</v>
      </c>
      <c r="C178" s="7">
        <v>12</v>
      </c>
      <c r="D178" s="7">
        <v>12</v>
      </c>
      <c r="E178" s="7" t="str">
        <f t="shared" si="31"/>
        <v>0x530C</v>
      </c>
      <c r="F178" s="7">
        <f t="shared" si="28"/>
        <v>21260</v>
      </c>
      <c r="G178" s="7" t="str">
        <f t="shared" si="29"/>
        <v>Very Severe</v>
      </c>
      <c r="H178" s="7" t="str">
        <f t="shared" si="30"/>
        <v>F42112</v>
      </c>
      <c r="I178" s="7" t="s">
        <v>76</v>
      </c>
      <c r="J178" s="13" t="s">
        <v>185</v>
      </c>
      <c r="K178" s="13" t="s">
        <v>186</v>
      </c>
    </row>
    <row r="179" spans="2:11" x14ac:dyDescent="0.2">
      <c r="B179" s="7">
        <v>4</v>
      </c>
      <c r="C179" s="7">
        <v>12</v>
      </c>
      <c r="D179" s="7">
        <v>13</v>
      </c>
      <c r="E179" s="7" t="str">
        <f t="shared" si="31"/>
        <v>0x530D</v>
      </c>
      <c r="F179" s="7">
        <f t="shared" si="28"/>
        <v>21261</v>
      </c>
      <c r="G179" s="7" t="str">
        <f t="shared" si="29"/>
        <v>Very Severe</v>
      </c>
      <c r="H179" s="7" t="str">
        <f t="shared" si="30"/>
        <v>F42113</v>
      </c>
      <c r="I179" s="7" t="s">
        <v>77</v>
      </c>
      <c r="J179" s="13" t="s">
        <v>232</v>
      </c>
      <c r="K179" s="13" t="s">
        <v>188</v>
      </c>
    </row>
    <row r="180" spans="2:11" x14ac:dyDescent="0.2">
      <c r="B180" s="7">
        <v>4</v>
      </c>
      <c r="C180" s="7">
        <v>12</v>
      </c>
      <c r="D180" s="7">
        <v>14</v>
      </c>
      <c r="E180" s="7" t="str">
        <f t="shared" si="31"/>
        <v>0x530E</v>
      </c>
      <c r="F180" s="7">
        <f t="shared" si="28"/>
        <v>21262</v>
      </c>
      <c r="G180" s="7" t="str">
        <f t="shared" si="29"/>
        <v>Very Severe</v>
      </c>
      <c r="H180" s="7" t="str">
        <f t="shared" si="30"/>
        <v>F42114</v>
      </c>
      <c r="I180" s="7" t="s">
        <v>78</v>
      </c>
      <c r="J180" s="13" t="s">
        <v>232</v>
      </c>
      <c r="K180" s="13" t="s">
        <v>188</v>
      </c>
    </row>
    <row r="181" spans="2:11" x14ac:dyDescent="0.2">
      <c r="B181" s="7">
        <v>4</v>
      </c>
      <c r="C181" s="7">
        <v>12</v>
      </c>
      <c r="D181" s="7">
        <v>15</v>
      </c>
      <c r="E181" s="7" t="str">
        <f t="shared" si="31"/>
        <v>0x530F</v>
      </c>
      <c r="F181" s="7">
        <f t="shared" si="28"/>
        <v>21263</v>
      </c>
      <c r="G181" s="7" t="str">
        <f t="shared" si="29"/>
        <v>Very Severe</v>
      </c>
      <c r="H181" s="7" t="str">
        <f t="shared" si="30"/>
        <v>F42115</v>
      </c>
      <c r="I181" s="7" t="s">
        <v>79</v>
      </c>
      <c r="J181" s="13" t="s">
        <v>232</v>
      </c>
      <c r="K181" s="13" t="s">
        <v>188</v>
      </c>
    </row>
    <row r="182" spans="2:11" x14ac:dyDescent="0.2">
      <c r="B182" s="7">
        <v>4</v>
      </c>
      <c r="C182" s="7">
        <v>12</v>
      </c>
      <c r="D182" s="7">
        <v>16</v>
      </c>
      <c r="E182" s="7" t="str">
        <f t="shared" si="31"/>
        <v>0x5310</v>
      </c>
      <c r="F182" s="7">
        <f t="shared" si="28"/>
        <v>21264</v>
      </c>
      <c r="G182" s="7" t="str">
        <f t="shared" si="29"/>
        <v>Very Severe</v>
      </c>
      <c r="H182" s="7" t="str">
        <f t="shared" si="30"/>
        <v>F42116</v>
      </c>
      <c r="I182" s="7" t="s">
        <v>89</v>
      </c>
      <c r="J182" s="13" t="s">
        <v>232</v>
      </c>
      <c r="K182" s="13" t="s">
        <v>188</v>
      </c>
    </row>
    <row r="183" spans="2:11" x14ac:dyDescent="0.2">
      <c r="B183" s="7">
        <v>4</v>
      </c>
      <c r="C183" s="7">
        <v>12</v>
      </c>
      <c r="D183" s="7">
        <v>17</v>
      </c>
      <c r="E183" s="7" t="str">
        <f t="shared" si="31"/>
        <v>0x5311</v>
      </c>
      <c r="F183" s="7">
        <f t="shared" si="28"/>
        <v>21265</v>
      </c>
      <c r="G183" s="7" t="str">
        <f t="shared" si="29"/>
        <v>Very Severe</v>
      </c>
      <c r="H183" s="7" t="str">
        <f t="shared" si="30"/>
        <v>F42117</v>
      </c>
      <c r="I183" s="7" t="s">
        <v>80</v>
      </c>
      <c r="J183" s="13" t="s">
        <v>232</v>
      </c>
      <c r="K183" s="13" t="s">
        <v>188</v>
      </c>
    </row>
    <row r="184" spans="2:11" x14ac:dyDescent="0.2">
      <c r="B184" s="7">
        <v>4</v>
      </c>
      <c r="C184" s="7">
        <v>12</v>
      </c>
      <c r="D184" s="7">
        <v>18</v>
      </c>
      <c r="E184" s="7" t="str">
        <f t="shared" si="31"/>
        <v>0x5312</v>
      </c>
      <c r="F184" s="7">
        <f t="shared" si="28"/>
        <v>21266</v>
      </c>
      <c r="G184" s="7" t="str">
        <f t="shared" si="29"/>
        <v>Very Severe</v>
      </c>
      <c r="H184" s="7" t="str">
        <f t="shared" si="30"/>
        <v>F42118</v>
      </c>
      <c r="I184" s="7" t="s">
        <v>81</v>
      </c>
      <c r="J184" s="13" t="s">
        <v>232</v>
      </c>
      <c r="K184" s="13" t="s">
        <v>188</v>
      </c>
    </row>
    <row r="185" spans="2:11" x14ac:dyDescent="0.2">
      <c r="B185" s="7">
        <v>4</v>
      </c>
      <c r="C185" s="7">
        <v>12</v>
      </c>
      <c r="D185" s="7">
        <v>19</v>
      </c>
      <c r="E185" s="7" t="str">
        <f t="shared" si="31"/>
        <v>0x5313</v>
      </c>
      <c r="F185" s="7">
        <f t="shared" si="28"/>
        <v>21267</v>
      </c>
      <c r="G185" s="7" t="str">
        <f t="shared" si="29"/>
        <v>Very Severe</v>
      </c>
      <c r="H185" s="7" t="str">
        <f t="shared" si="30"/>
        <v>F42119</v>
      </c>
      <c r="I185" s="7" t="s">
        <v>82</v>
      </c>
      <c r="J185" s="13" t="s">
        <v>232</v>
      </c>
      <c r="K185" s="13" t="s">
        <v>188</v>
      </c>
    </row>
    <row r="186" spans="2:11" x14ac:dyDescent="0.2">
      <c r="B186" s="7">
        <v>4</v>
      </c>
      <c r="C186" s="7">
        <v>12</v>
      </c>
      <c r="D186" s="7">
        <v>20</v>
      </c>
      <c r="E186" s="7" t="str">
        <f t="shared" si="31"/>
        <v>0x5314</v>
      </c>
      <c r="F186" s="7">
        <f t="shared" si="28"/>
        <v>21268</v>
      </c>
      <c r="G186" s="7" t="str">
        <f t="shared" si="29"/>
        <v>Very Severe</v>
      </c>
      <c r="H186" s="7" t="str">
        <f t="shared" si="30"/>
        <v>F42120</v>
      </c>
      <c r="I186" s="7" t="s">
        <v>83</v>
      </c>
      <c r="J186" s="13" t="s">
        <v>232</v>
      </c>
      <c r="K186" s="13" t="s">
        <v>188</v>
      </c>
    </row>
    <row r="187" spans="2:11" x14ac:dyDescent="0.2">
      <c r="B187" s="7">
        <v>4</v>
      </c>
      <c r="C187" s="7">
        <v>12</v>
      </c>
      <c r="D187" s="7">
        <v>21</v>
      </c>
      <c r="E187" s="7" t="str">
        <f t="shared" si="31"/>
        <v>0x5315</v>
      </c>
      <c r="F187" s="7">
        <f t="shared" si="28"/>
        <v>21269</v>
      </c>
      <c r="G187" s="7" t="str">
        <f t="shared" si="29"/>
        <v>Very Severe</v>
      </c>
      <c r="H187" s="7" t="str">
        <f t="shared" si="30"/>
        <v>F42121</v>
      </c>
      <c r="I187" s="7" t="s">
        <v>84</v>
      </c>
      <c r="J187" s="13" t="s">
        <v>232</v>
      </c>
      <c r="K187" s="13" t="s">
        <v>188</v>
      </c>
    </row>
    <row r="188" spans="2:11" x14ac:dyDescent="0.2">
      <c r="B188" s="7">
        <v>4</v>
      </c>
      <c r="C188" s="7">
        <v>12</v>
      </c>
      <c r="D188" s="7">
        <v>22</v>
      </c>
      <c r="E188" s="7" t="str">
        <f t="shared" si="31"/>
        <v>0x5316</v>
      </c>
      <c r="F188" s="7">
        <f t="shared" si="28"/>
        <v>21270</v>
      </c>
      <c r="G188" s="7" t="str">
        <f t="shared" si="29"/>
        <v>Very Severe</v>
      </c>
      <c r="H188" s="7" t="str">
        <f t="shared" si="30"/>
        <v>F42122</v>
      </c>
      <c r="I188" s="7" t="s">
        <v>85</v>
      </c>
      <c r="J188" s="13" t="s">
        <v>232</v>
      </c>
      <c r="K188" s="13" t="s">
        <v>188</v>
      </c>
    </row>
    <row r="189" spans="2:11" x14ac:dyDescent="0.2">
      <c r="B189" s="7">
        <v>4</v>
      </c>
      <c r="C189" s="7">
        <v>12</v>
      </c>
      <c r="D189" s="7">
        <v>23</v>
      </c>
      <c r="E189" s="7" t="str">
        <f t="shared" si="31"/>
        <v>0x5317</v>
      </c>
      <c r="F189" s="7">
        <f t="shared" si="28"/>
        <v>21271</v>
      </c>
      <c r="G189" s="7" t="str">
        <f t="shared" si="29"/>
        <v>Very Severe</v>
      </c>
      <c r="H189" s="7" t="str">
        <f t="shared" si="30"/>
        <v>F42123</v>
      </c>
      <c r="I189" s="7" t="s">
        <v>86</v>
      </c>
      <c r="J189" s="13" t="s">
        <v>232</v>
      </c>
      <c r="K189" s="13" t="s">
        <v>188</v>
      </c>
    </row>
    <row r="190" spans="2:11" x14ac:dyDescent="0.2">
      <c r="B190" s="7">
        <v>4</v>
      </c>
      <c r="C190" s="7">
        <v>12</v>
      </c>
      <c r="D190" s="7">
        <v>24</v>
      </c>
      <c r="E190" s="7" t="str">
        <f t="shared" si="31"/>
        <v>0x5318</v>
      </c>
      <c r="F190" s="7">
        <f t="shared" si="28"/>
        <v>21272</v>
      </c>
      <c r="G190" s="7" t="str">
        <f t="shared" si="29"/>
        <v>Very Severe</v>
      </c>
      <c r="H190" s="7" t="str">
        <f t="shared" si="30"/>
        <v>F42124</v>
      </c>
      <c r="I190" s="7" t="s">
        <v>87</v>
      </c>
      <c r="J190" s="13" t="s">
        <v>232</v>
      </c>
      <c r="K190" s="13" t="s">
        <v>188</v>
      </c>
    </row>
    <row r="191" spans="2:11" ht="33.75" x14ac:dyDescent="0.2">
      <c r="B191" s="7">
        <v>4</v>
      </c>
      <c r="C191" s="7">
        <v>12</v>
      </c>
      <c r="D191" s="7">
        <v>25</v>
      </c>
      <c r="E191" s="7" t="str">
        <f t="shared" si="31"/>
        <v>0x5319</v>
      </c>
      <c r="F191" s="7">
        <f t="shared" si="28"/>
        <v>21273</v>
      </c>
      <c r="G191" s="7" t="str">
        <f t="shared" si="29"/>
        <v>Very Severe</v>
      </c>
      <c r="H191" s="7" t="str">
        <f t="shared" si="30"/>
        <v>F42125</v>
      </c>
      <c r="I191" s="7" t="s">
        <v>88</v>
      </c>
      <c r="J191" s="13" t="s">
        <v>88</v>
      </c>
      <c r="K191" s="13" t="s">
        <v>233</v>
      </c>
    </row>
    <row r="192" spans="2:11" ht="22.5" x14ac:dyDescent="0.2">
      <c r="B192" s="7">
        <v>4</v>
      </c>
      <c r="C192" s="7">
        <v>12</v>
      </c>
      <c r="D192" s="7">
        <v>26</v>
      </c>
      <c r="E192" s="7" t="str">
        <f t="shared" si="31"/>
        <v>0x531A</v>
      </c>
      <c r="F192" s="7">
        <f t="shared" si="28"/>
        <v>21274</v>
      </c>
      <c r="G192" s="7" t="str">
        <f t="shared" si="29"/>
        <v>Very Severe</v>
      </c>
      <c r="H192" s="7" t="str">
        <f t="shared" si="30"/>
        <v>F42126</v>
      </c>
      <c r="I192" s="7" t="s">
        <v>278</v>
      </c>
      <c r="J192" s="12" t="s">
        <v>455</v>
      </c>
      <c r="K192" s="12" t="s">
        <v>279</v>
      </c>
    </row>
    <row r="193" spans="2:11" ht="22.5" x14ac:dyDescent="0.2">
      <c r="B193" s="7">
        <v>4</v>
      </c>
      <c r="C193" s="7">
        <v>13</v>
      </c>
      <c r="D193" s="7">
        <v>1</v>
      </c>
      <c r="E193" s="7" t="str">
        <f t="shared" si="31"/>
        <v>0x5341</v>
      </c>
      <c r="F193" s="7">
        <f t="shared" si="28"/>
        <v>21313</v>
      </c>
      <c r="G193" s="7" t="str">
        <f t="shared" si="29"/>
        <v>Very Severe</v>
      </c>
      <c r="H193" s="7" t="str">
        <f t="shared" si="30"/>
        <v>F43101</v>
      </c>
      <c r="I193" s="7" t="s">
        <v>90</v>
      </c>
      <c r="J193" s="13" t="s">
        <v>234</v>
      </c>
      <c r="K193" s="13" t="s">
        <v>188</v>
      </c>
    </row>
    <row r="194" spans="2:11" x14ac:dyDescent="0.2">
      <c r="B194" s="7">
        <v>4</v>
      </c>
      <c r="C194" s="7">
        <v>13</v>
      </c>
      <c r="D194" s="7">
        <v>2</v>
      </c>
      <c r="E194" s="7" t="str">
        <f t="shared" si="31"/>
        <v>0x5342</v>
      </c>
      <c r="F194" s="7">
        <f t="shared" si="28"/>
        <v>21314</v>
      </c>
      <c r="G194" s="7" t="str">
        <f t="shared" si="29"/>
        <v>Very Severe</v>
      </c>
      <c r="H194" s="7" t="str">
        <f t="shared" si="30"/>
        <v>F43102</v>
      </c>
      <c r="I194" s="7" t="s">
        <v>91</v>
      </c>
      <c r="J194" s="13" t="s">
        <v>194</v>
      </c>
      <c r="K194" s="13" t="s">
        <v>194</v>
      </c>
    </row>
    <row r="195" spans="2:11" x14ac:dyDescent="0.2">
      <c r="B195" s="7">
        <v>4</v>
      </c>
      <c r="C195" s="7">
        <v>13</v>
      </c>
      <c r="D195" s="7">
        <v>3</v>
      </c>
      <c r="E195" s="7" t="str">
        <f t="shared" ref="E195:E223" si="32">IF(B195="","",CONCATENATE("0x",DEC2HEX(16384+(B195*1024)+(C195*64)+D195)))</f>
        <v>0x5343</v>
      </c>
      <c r="F195" s="7">
        <f t="shared" si="28"/>
        <v>21315</v>
      </c>
      <c r="G195" s="7" t="str">
        <f t="shared" si="29"/>
        <v>Very Severe</v>
      </c>
      <c r="H195" s="7" t="str">
        <f t="shared" si="30"/>
        <v>F43103</v>
      </c>
      <c r="I195" s="7" t="s">
        <v>92</v>
      </c>
      <c r="J195" s="13" t="s">
        <v>235</v>
      </c>
      <c r="K195" s="13" t="s">
        <v>188</v>
      </c>
    </row>
    <row r="196" spans="2:11" ht="22.5" x14ac:dyDescent="0.2">
      <c r="B196" s="7">
        <v>4</v>
      </c>
      <c r="C196" s="7">
        <v>13</v>
      </c>
      <c r="D196" s="7">
        <v>4</v>
      </c>
      <c r="E196" s="7" t="str">
        <f t="shared" si="32"/>
        <v>0x5344</v>
      </c>
      <c r="F196" s="7">
        <f t="shared" si="28"/>
        <v>21316</v>
      </c>
      <c r="G196" s="7" t="str">
        <f t="shared" si="29"/>
        <v>Very Severe</v>
      </c>
      <c r="H196" s="7" t="str">
        <f t="shared" si="30"/>
        <v>F43104</v>
      </c>
      <c r="I196" s="7" t="s">
        <v>93</v>
      </c>
      <c r="J196" s="12" t="s">
        <v>418</v>
      </c>
      <c r="K196" s="13" t="s">
        <v>194</v>
      </c>
    </row>
    <row r="197" spans="2:11" x14ac:dyDescent="0.2">
      <c r="B197" s="7">
        <v>4</v>
      </c>
      <c r="C197" s="7">
        <v>13</v>
      </c>
      <c r="D197" s="7">
        <v>5</v>
      </c>
      <c r="E197" s="7" t="str">
        <f t="shared" si="32"/>
        <v>0x5345</v>
      </c>
      <c r="F197" s="7">
        <f t="shared" si="28"/>
        <v>21317</v>
      </c>
      <c r="G197" s="7" t="str">
        <f t="shared" si="29"/>
        <v>Very Severe</v>
      </c>
      <c r="H197" s="7" t="str">
        <f t="shared" si="30"/>
        <v>F43105</v>
      </c>
      <c r="I197" s="7" t="s">
        <v>365</v>
      </c>
      <c r="J197" s="12" t="s">
        <v>366</v>
      </c>
      <c r="K197" s="13" t="s">
        <v>194</v>
      </c>
    </row>
    <row r="198" spans="2:11" x14ac:dyDescent="0.2">
      <c r="B198" s="7">
        <v>4</v>
      </c>
      <c r="C198" s="7">
        <v>13</v>
      </c>
      <c r="D198" s="7">
        <v>6</v>
      </c>
      <c r="E198" s="7" t="str">
        <f t="shared" si="32"/>
        <v>0x5346</v>
      </c>
      <c r="F198" s="7">
        <f t="shared" si="28"/>
        <v>21318</v>
      </c>
      <c r="G198" s="7" t="str">
        <f t="shared" si="29"/>
        <v>Very Severe</v>
      </c>
      <c r="H198" s="7" t="str">
        <f t="shared" si="30"/>
        <v>F43106</v>
      </c>
      <c r="I198" s="7" t="s">
        <v>426</v>
      </c>
      <c r="J198" s="12" t="s">
        <v>425</v>
      </c>
      <c r="K198" s="13"/>
    </row>
    <row r="199" spans="2:11" ht="22.5" x14ac:dyDescent="0.2">
      <c r="B199" s="7">
        <v>4</v>
      </c>
      <c r="C199" s="7">
        <v>14</v>
      </c>
      <c r="D199" s="7">
        <v>1</v>
      </c>
      <c r="E199" s="7" t="str">
        <f t="shared" si="32"/>
        <v>0x5381</v>
      </c>
      <c r="F199" s="7">
        <f t="shared" ref="F199:F220" si="33">HEX2DEC(RIGHT(E199,4))</f>
        <v>21377</v>
      </c>
      <c r="G199" s="7" t="str">
        <f t="shared" si="29"/>
        <v>Very Severe</v>
      </c>
      <c r="H199" s="7" t="str">
        <f t="shared" si="30"/>
        <v>F44101</v>
      </c>
      <c r="I199" s="7" t="s">
        <v>94</v>
      </c>
      <c r="J199" s="13" t="s">
        <v>149</v>
      </c>
      <c r="K199" s="13" t="s">
        <v>146</v>
      </c>
    </row>
    <row r="200" spans="2:11" ht="1.1499999999999999" customHeight="1" x14ac:dyDescent="0.2">
      <c r="B200" s="7"/>
      <c r="C200" s="7"/>
      <c r="D200" s="7"/>
      <c r="E200" s="7" t="str">
        <f t="shared" si="32"/>
        <v/>
      </c>
      <c r="F200" s="7">
        <f t="shared" si="33"/>
        <v>0</v>
      </c>
      <c r="G200" s="7" t="str">
        <f t="shared" ref="G200:G223" si="34">IF(B200=1,"Warning",IF(B200=2,"Drive Inhibit",IF(B200=3,"Severe",IF(B200=4,"Very Severe",IF(B200=5,"Return to Base","")))))</f>
        <v/>
      </c>
      <c r="H200" s="7" t="str">
        <f t="shared" ref="H200:H223" si="35">IF(B200="","",CONCATENATE("F",B200*10000+(IF(C200&lt;10,C200*10,(C200-10)*10+1)*100+D200)))</f>
        <v/>
      </c>
      <c r="I200" s="7"/>
      <c r="J200" s="12"/>
      <c r="K200" s="12"/>
    </row>
    <row r="201" spans="2:11" ht="22.5" x14ac:dyDescent="0.2">
      <c r="B201" s="7">
        <v>5</v>
      </c>
      <c r="C201" s="7">
        <v>1</v>
      </c>
      <c r="D201" s="7">
        <v>1</v>
      </c>
      <c r="E201" s="7" t="str">
        <f t="shared" si="32"/>
        <v>0x5441</v>
      </c>
      <c r="F201" s="7">
        <f t="shared" si="33"/>
        <v>21569</v>
      </c>
      <c r="G201" s="7" t="str">
        <f>IF(B201=1,"Warning",IF(B201=2,"Drive Inhibit",IF(B201=3,"Severe",IF(B201=4,"Very Severe",IF(B201=5,"Return to Base","")))))</f>
        <v>Return to Base</v>
      </c>
      <c r="H201" s="7" t="str">
        <f>IF(B201="","",CONCATENATE("F",B201*10000+(IF(C201&lt;10,C201*10,(C201-10)*10+1)*100+D201)))</f>
        <v>F51001</v>
      </c>
      <c r="I201" s="7" t="s">
        <v>109</v>
      </c>
      <c r="J201" s="13" t="s">
        <v>236</v>
      </c>
      <c r="K201" s="13" t="s">
        <v>237</v>
      </c>
    </row>
    <row r="202" spans="2:11" x14ac:dyDescent="0.2">
      <c r="B202" s="7">
        <v>5</v>
      </c>
      <c r="C202" s="7">
        <v>1</v>
      </c>
      <c r="D202" s="7">
        <v>2</v>
      </c>
      <c r="E202" s="7" t="str">
        <f t="shared" si="32"/>
        <v>0x5442</v>
      </c>
      <c r="F202" s="7">
        <f t="shared" si="33"/>
        <v>21570</v>
      </c>
      <c r="G202" s="7" t="str">
        <f>IF(B202=1,"Warning",IF(B202=2,"Drive Inhibit",IF(B202=3,"Severe",IF(B202=4,"Very Severe",IF(B202=5,"Return to Base","")))))</f>
        <v>Return to Base</v>
      </c>
      <c r="H202" s="7" t="str">
        <f>IF(B202="","",CONCATENATE("F",B202*10000+(IF(C202&lt;10,C202*10,(C202-10)*10+1)*100+D202)))</f>
        <v>F51002</v>
      </c>
      <c r="I202" s="7" t="s">
        <v>110</v>
      </c>
      <c r="J202" s="13" t="s">
        <v>238</v>
      </c>
      <c r="K202" s="13" t="s">
        <v>239</v>
      </c>
    </row>
    <row r="203" spans="2:11" x14ac:dyDescent="0.2">
      <c r="B203" s="7">
        <v>5</v>
      </c>
      <c r="C203" s="7">
        <v>3</v>
      </c>
      <c r="D203" s="7">
        <v>1</v>
      </c>
      <c r="E203" s="7" t="str">
        <f t="shared" si="32"/>
        <v>0x54C1</v>
      </c>
      <c r="F203" s="7">
        <f t="shared" si="33"/>
        <v>21697</v>
      </c>
      <c r="G203" s="7" t="str">
        <f t="shared" si="34"/>
        <v>Return to Base</v>
      </c>
      <c r="H203" s="7" t="str">
        <f t="shared" si="35"/>
        <v>F53001</v>
      </c>
      <c r="I203" s="7" t="s">
        <v>435</v>
      </c>
      <c r="J203" s="13" t="s">
        <v>240</v>
      </c>
      <c r="K203" s="13" t="s">
        <v>241</v>
      </c>
    </row>
    <row r="204" spans="2:11" x14ac:dyDescent="0.2">
      <c r="B204" s="7">
        <v>5</v>
      </c>
      <c r="C204" s="7">
        <v>3</v>
      </c>
      <c r="D204" s="7">
        <v>2</v>
      </c>
      <c r="E204" s="7" t="str">
        <f t="shared" si="32"/>
        <v>0x54C2</v>
      </c>
      <c r="F204" s="7">
        <f t="shared" si="33"/>
        <v>21698</v>
      </c>
      <c r="G204" s="7" t="str">
        <f t="shared" si="34"/>
        <v>Return to Base</v>
      </c>
      <c r="H204" s="7" t="str">
        <f t="shared" si="35"/>
        <v>F53002</v>
      </c>
      <c r="I204" s="7" t="s">
        <v>436</v>
      </c>
      <c r="J204" s="13" t="s">
        <v>226</v>
      </c>
      <c r="K204" s="13" t="s">
        <v>227</v>
      </c>
    </row>
    <row r="205" spans="2:11" x14ac:dyDescent="0.2">
      <c r="B205" s="7">
        <v>5</v>
      </c>
      <c r="C205" s="7">
        <v>3</v>
      </c>
      <c r="D205" s="7">
        <v>3</v>
      </c>
      <c r="E205" s="7" t="str">
        <f t="shared" si="32"/>
        <v>0x54C3</v>
      </c>
      <c r="F205" s="7">
        <f t="shared" si="33"/>
        <v>21699</v>
      </c>
      <c r="G205" s="7" t="str">
        <f t="shared" si="34"/>
        <v>Return to Base</v>
      </c>
      <c r="H205" s="7" t="str">
        <f t="shared" si="35"/>
        <v>F53003</v>
      </c>
      <c r="I205" s="7" t="s">
        <v>95</v>
      </c>
      <c r="J205" s="12" t="s">
        <v>402</v>
      </c>
      <c r="K205" s="13" t="s">
        <v>242</v>
      </c>
    </row>
    <row r="206" spans="2:11" x14ac:dyDescent="0.2">
      <c r="B206" s="7">
        <v>5</v>
      </c>
      <c r="C206" s="7">
        <v>3</v>
      </c>
      <c r="D206" s="7">
        <v>4</v>
      </c>
      <c r="E206" s="7" t="str">
        <f t="shared" si="32"/>
        <v>0x54C4</v>
      </c>
      <c r="F206" s="7">
        <f t="shared" si="33"/>
        <v>21700</v>
      </c>
      <c r="G206" s="7" t="str">
        <f t="shared" si="34"/>
        <v>Return to Base</v>
      </c>
      <c r="H206" s="7" t="str">
        <f t="shared" si="35"/>
        <v>F53004</v>
      </c>
      <c r="I206" s="7" t="s">
        <v>96</v>
      </c>
      <c r="J206" s="12" t="s">
        <v>403</v>
      </c>
      <c r="K206" s="13" t="s">
        <v>242</v>
      </c>
    </row>
    <row r="207" spans="2:11" x14ac:dyDescent="0.2">
      <c r="B207" s="7">
        <v>5</v>
      </c>
      <c r="C207" s="7">
        <v>3</v>
      </c>
      <c r="D207" s="7">
        <v>5</v>
      </c>
      <c r="E207" s="7" t="str">
        <f t="shared" si="32"/>
        <v>0x54C5</v>
      </c>
      <c r="F207" s="7">
        <f t="shared" si="33"/>
        <v>21701</v>
      </c>
      <c r="G207" s="7" t="str">
        <f t="shared" si="34"/>
        <v>Return to Base</v>
      </c>
      <c r="H207" s="7" t="str">
        <f t="shared" si="35"/>
        <v>F53005</v>
      </c>
      <c r="I207" s="7" t="s">
        <v>97</v>
      </c>
      <c r="J207" s="12" t="s">
        <v>404</v>
      </c>
      <c r="K207" s="13" t="s">
        <v>242</v>
      </c>
    </row>
    <row r="208" spans="2:11" x14ac:dyDescent="0.2">
      <c r="B208" s="7">
        <v>5</v>
      </c>
      <c r="C208" s="7">
        <v>3</v>
      </c>
      <c r="D208" s="7">
        <v>6</v>
      </c>
      <c r="E208" s="7" t="str">
        <f t="shared" si="32"/>
        <v>0x54C6</v>
      </c>
      <c r="F208" s="7">
        <f t="shared" si="33"/>
        <v>21702</v>
      </c>
      <c r="G208" s="7" t="str">
        <f t="shared" si="34"/>
        <v>Return to Base</v>
      </c>
      <c r="H208" s="7" t="str">
        <f t="shared" si="35"/>
        <v>F53006</v>
      </c>
      <c r="I208" s="7" t="s">
        <v>98</v>
      </c>
      <c r="J208" s="12" t="s">
        <v>405</v>
      </c>
      <c r="K208" s="13" t="s">
        <v>242</v>
      </c>
    </row>
    <row r="209" spans="2:11" x14ac:dyDescent="0.2">
      <c r="B209" s="7">
        <v>5</v>
      </c>
      <c r="C209" s="7">
        <v>3</v>
      </c>
      <c r="D209" s="7">
        <v>7</v>
      </c>
      <c r="E209" s="7" t="str">
        <f t="shared" si="32"/>
        <v>0x54C7</v>
      </c>
      <c r="F209" s="7">
        <f t="shared" si="33"/>
        <v>21703</v>
      </c>
      <c r="G209" s="7" t="str">
        <f t="shared" si="34"/>
        <v>Return to Base</v>
      </c>
      <c r="H209" s="7" t="str">
        <f t="shared" si="35"/>
        <v>F53007</v>
      </c>
      <c r="I209" s="7" t="s">
        <v>99</v>
      </c>
      <c r="J209" s="12" t="s">
        <v>406</v>
      </c>
      <c r="K209" s="13" t="s">
        <v>242</v>
      </c>
    </row>
    <row r="210" spans="2:11" x14ac:dyDescent="0.2">
      <c r="B210" s="7">
        <v>5</v>
      </c>
      <c r="C210" s="7">
        <v>3</v>
      </c>
      <c r="D210" s="7">
        <v>8</v>
      </c>
      <c r="E210" s="7" t="str">
        <f t="shared" si="32"/>
        <v>0x54C8</v>
      </c>
      <c r="F210" s="7">
        <f t="shared" si="33"/>
        <v>21704</v>
      </c>
      <c r="G210" s="7" t="str">
        <f t="shared" si="34"/>
        <v>Return to Base</v>
      </c>
      <c r="H210" s="7" t="str">
        <f t="shared" si="35"/>
        <v>F53008</v>
      </c>
      <c r="I210" s="7" t="s">
        <v>100</v>
      </c>
      <c r="J210" s="12" t="s">
        <v>407</v>
      </c>
      <c r="K210" s="13" t="s">
        <v>242</v>
      </c>
    </row>
    <row r="211" spans="2:11" x14ac:dyDescent="0.2">
      <c r="B211" s="7">
        <v>5</v>
      </c>
      <c r="C211" s="7">
        <v>3</v>
      </c>
      <c r="D211" s="7">
        <v>9</v>
      </c>
      <c r="E211" s="7" t="str">
        <f t="shared" si="32"/>
        <v>0x54C9</v>
      </c>
      <c r="F211" s="7">
        <f t="shared" si="33"/>
        <v>21705</v>
      </c>
      <c r="G211" s="7" t="str">
        <f t="shared" si="34"/>
        <v>Return to Base</v>
      </c>
      <c r="H211" s="7" t="str">
        <f t="shared" si="35"/>
        <v>F53009</v>
      </c>
      <c r="I211" s="7" t="s">
        <v>101</v>
      </c>
      <c r="J211" s="12" t="s">
        <v>408</v>
      </c>
      <c r="K211" s="13" t="s">
        <v>188</v>
      </c>
    </row>
    <row r="212" spans="2:11" x14ac:dyDescent="0.2">
      <c r="B212" s="7">
        <v>5</v>
      </c>
      <c r="C212" s="7">
        <v>3</v>
      </c>
      <c r="D212" s="7">
        <v>10</v>
      </c>
      <c r="E212" s="7" t="str">
        <f t="shared" si="32"/>
        <v>0x54CA</v>
      </c>
      <c r="F212" s="7">
        <f t="shared" si="33"/>
        <v>21706</v>
      </c>
      <c r="G212" s="7" t="str">
        <f t="shared" si="34"/>
        <v>Return to Base</v>
      </c>
      <c r="H212" s="7" t="str">
        <f t="shared" si="35"/>
        <v>F53010</v>
      </c>
      <c r="I212" s="7" t="s">
        <v>254</v>
      </c>
      <c r="J212" s="12" t="s">
        <v>409</v>
      </c>
      <c r="K212" s="13" t="s">
        <v>242</v>
      </c>
    </row>
    <row r="213" spans="2:11" x14ac:dyDescent="0.2">
      <c r="B213" s="7">
        <v>5</v>
      </c>
      <c r="C213" s="7">
        <v>3</v>
      </c>
      <c r="D213" s="7">
        <v>10</v>
      </c>
      <c r="E213" s="7" t="str">
        <f t="shared" si="32"/>
        <v>0x54CA</v>
      </c>
      <c r="F213" s="7">
        <f t="shared" si="33"/>
        <v>21706</v>
      </c>
      <c r="G213" s="7" t="str">
        <f t="shared" si="34"/>
        <v>Return to Base</v>
      </c>
      <c r="H213" s="7" t="str">
        <f t="shared" si="35"/>
        <v>F53010</v>
      </c>
      <c r="I213" s="7" t="s">
        <v>323</v>
      </c>
      <c r="J213" s="12" t="s">
        <v>342</v>
      </c>
      <c r="K213" s="12" t="s">
        <v>343</v>
      </c>
    </row>
    <row r="214" spans="2:11" x14ac:dyDescent="0.2">
      <c r="B214" s="7">
        <v>5</v>
      </c>
      <c r="C214" s="7">
        <v>3</v>
      </c>
      <c r="D214" s="7">
        <v>11</v>
      </c>
      <c r="E214" s="7" t="str">
        <f>IF(B214="","",CONCATENATE("0x",DEC2HEX(16384+(B214*1024)+(C214*64)+D214)))</f>
        <v>0x54CB</v>
      </c>
      <c r="F214" s="7">
        <f t="shared" si="33"/>
        <v>21707</v>
      </c>
      <c r="G214" s="7" t="str">
        <f>IF(B214=1,"Warning",IF(B214=2,"Drive Inhibit",IF(B214=3,"Severe",IF(B214=4,"Very Severe",IF(B214=5,"Return to Base","")))))</f>
        <v>Return to Base</v>
      </c>
      <c r="H214" s="7" t="str">
        <f>IF(B214="","",CONCATENATE("F",B214*10000+(IF(C214&lt;10,C214*10,(C214-10)*10+1)*100+D214)))</f>
        <v>F53011</v>
      </c>
      <c r="I214" s="7" t="s">
        <v>324</v>
      </c>
      <c r="J214" s="12" t="s">
        <v>342</v>
      </c>
      <c r="K214" s="12" t="s">
        <v>343</v>
      </c>
    </row>
    <row r="215" spans="2:11" x14ac:dyDescent="0.2">
      <c r="B215" s="7">
        <v>5</v>
      </c>
      <c r="C215" s="7">
        <v>3</v>
      </c>
      <c r="D215" s="7">
        <v>12</v>
      </c>
      <c r="E215" s="7" t="str">
        <f>IF(B215="","",CONCATENATE("0x",DEC2HEX(16384+(B215*1024)+(C215*64)+D215)))</f>
        <v>0x54CC</v>
      </c>
      <c r="F215" s="7">
        <f t="shared" si="33"/>
        <v>21708</v>
      </c>
      <c r="G215" s="7" t="str">
        <f>IF(B215=1,"Warning",IF(B215=2,"Drive Inhibit",IF(B215=3,"Severe",IF(B215=4,"Very Severe",IF(B215=5,"Return to Base","")))))</f>
        <v>Return to Base</v>
      </c>
      <c r="H215" s="7" t="str">
        <f>IF(B215="","",CONCATENATE("F",B215*10000+(IF(C215&lt;10,C215*10,(C215-10)*10+1)*100+D215)))</f>
        <v>F53012</v>
      </c>
      <c r="I215" s="7" t="s">
        <v>325</v>
      </c>
      <c r="J215" s="12" t="s">
        <v>342</v>
      </c>
      <c r="K215" s="12" t="s">
        <v>343</v>
      </c>
    </row>
    <row r="216" spans="2:11" x14ac:dyDescent="0.2">
      <c r="B216" s="7">
        <v>5</v>
      </c>
      <c r="C216" s="7">
        <v>3</v>
      </c>
      <c r="D216" s="7">
        <v>13</v>
      </c>
      <c r="E216" s="7" t="str">
        <f>IF(B216="","",CONCATENATE("0x",DEC2HEX(16384+(B216*1024)+(C216*64)+D216)))</f>
        <v>0x54CD</v>
      </c>
      <c r="F216" s="7">
        <f t="shared" si="33"/>
        <v>21709</v>
      </c>
      <c r="G216" s="7" t="str">
        <f>IF(B216=1,"Warning",IF(B216=2,"Drive Inhibit",IF(B216=3,"Severe",IF(B216=4,"Very Severe",IF(B216=5,"Return to Base","")))))</f>
        <v>Return to Base</v>
      </c>
      <c r="H216" s="7" t="str">
        <f>IF(B216="","",CONCATENATE("F",B216*10000+(IF(C216&lt;10,C216*10,(C216-10)*10+1)*100+D216)))</f>
        <v>F53013</v>
      </c>
      <c r="I216" s="7" t="s">
        <v>326</v>
      </c>
      <c r="J216" s="12" t="s">
        <v>342</v>
      </c>
      <c r="K216" s="12" t="s">
        <v>343</v>
      </c>
    </row>
    <row r="217" spans="2:11" x14ac:dyDescent="0.2">
      <c r="B217" s="7">
        <v>5</v>
      </c>
      <c r="C217" s="7">
        <v>3</v>
      </c>
      <c r="D217" s="7">
        <v>14</v>
      </c>
      <c r="E217" s="7" t="str">
        <f>IF(B217="","",CONCATENATE("0x",DEC2HEX(16384+(B217*1024)+(C217*64)+D217)))</f>
        <v>0x54CE</v>
      </c>
      <c r="F217" s="7">
        <f t="shared" si="33"/>
        <v>21710</v>
      </c>
      <c r="G217" s="7" t="str">
        <f>IF(B217=1,"Warning",IF(B217=2,"Drive Inhibit",IF(B217=3,"Severe",IF(B217=4,"Very Severe",IF(B217=5,"Return to Base","")))))</f>
        <v>Return to Base</v>
      </c>
      <c r="H217" s="7" t="str">
        <f>IF(B217="","",CONCATENATE("F",B217*10000+(IF(C217&lt;10,C217*10,(C217-10)*10+1)*100+D217)))</f>
        <v>F53014</v>
      </c>
      <c r="I217" s="7" t="s">
        <v>327</v>
      </c>
      <c r="J217" s="12" t="s">
        <v>342</v>
      </c>
      <c r="K217" s="12" t="s">
        <v>343</v>
      </c>
    </row>
    <row r="218" spans="2:11" x14ac:dyDescent="0.2">
      <c r="B218" s="7">
        <v>5</v>
      </c>
      <c r="C218" s="7">
        <v>3</v>
      </c>
      <c r="D218" s="7">
        <v>15</v>
      </c>
      <c r="E218" s="7" t="str">
        <f>IF(B218="","",CONCATENATE("0x",DEC2HEX(16384+(B218*1024)+(C218*64)+D218)))</f>
        <v>0x54CF</v>
      </c>
      <c r="F218" s="7">
        <f t="shared" si="33"/>
        <v>21711</v>
      </c>
      <c r="G218" s="7" t="str">
        <f>IF(B218=1,"Warning",IF(B218=2,"Drive Inhibit",IF(B218=3,"Severe",IF(B218=4,"Very Severe",IF(B218=5,"Return to Base","")))))</f>
        <v>Return to Base</v>
      </c>
      <c r="H218" s="7" t="str">
        <f>IF(B218="","",CONCATENATE("F",B218*10000+(IF(C218&lt;10,C218*10,(C218-10)*10+1)*100+D218)))</f>
        <v>F53015</v>
      </c>
      <c r="I218" s="7" t="s">
        <v>328</v>
      </c>
      <c r="J218" s="12" t="s">
        <v>342</v>
      </c>
      <c r="K218" s="12" t="s">
        <v>343</v>
      </c>
    </row>
    <row r="219" spans="2:11" x14ac:dyDescent="0.2">
      <c r="B219" s="7">
        <v>5</v>
      </c>
      <c r="C219" s="7">
        <v>13</v>
      </c>
      <c r="D219" s="7">
        <v>1</v>
      </c>
      <c r="E219" s="7" t="str">
        <f t="shared" si="32"/>
        <v>0x5741</v>
      </c>
      <c r="F219" s="7">
        <f t="shared" si="33"/>
        <v>22337</v>
      </c>
      <c r="G219" s="7" t="str">
        <f t="shared" si="34"/>
        <v>Return to Base</v>
      </c>
      <c r="H219" s="7" t="str">
        <f t="shared" si="35"/>
        <v>F53101</v>
      </c>
      <c r="I219" s="7" t="s">
        <v>102</v>
      </c>
      <c r="J219" s="13" t="s">
        <v>243</v>
      </c>
      <c r="K219" s="13" t="s">
        <v>194</v>
      </c>
    </row>
    <row r="220" spans="2:11" ht="22.5" x14ac:dyDescent="0.2">
      <c r="B220" s="7">
        <v>5</v>
      </c>
      <c r="C220" s="7">
        <v>14</v>
      </c>
      <c r="D220" s="7">
        <v>1</v>
      </c>
      <c r="E220" s="7" t="str">
        <f t="shared" si="32"/>
        <v>0x5781</v>
      </c>
      <c r="F220" s="7">
        <f t="shared" si="33"/>
        <v>22401</v>
      </c>
      <c r="G220" s="7" t="str">
        <f t="shared" si="34"/>
        <v>Return to Base</v>
      </c>
      <c r="H220" s="7" t="str">
        <f t="shared" si="35"/>
        <v>F54101</v>
      </c>
      <c r="I220" s="7" t="s">
        <v>103</v>
      </c>
      <c r="J220" s="13" t="s">
        <v>150</v>
      </c>
      <c r="K220" s="13" t="s">
        <v>146</v>
      </c>
    </row>
    <row r="221" spans="2:11" x14ac:dyDescent="0.2">
      <c r="E221" s="3" t="str">
        <f t="shared" si="32"/>
        <v/>
      </c>
      <c r="G221" s="3" t="str">
        <f t="shared" si="34"/>
        <v/>
      </c>
      <c r="H221" s="3" t="str">
        <f t="shared" si="35"/>
        <v/>
      </c>
    </row>
    <row r="222" spans="2:11" x14ac:dyDescent="0.2">
      <c r="E222" s="3" t="str">
        <f t="shared" si="32"/>
        <v/>
      </c>
      <c r="G222" s="3" t="str">
        <f t="shared" si="34"/>
        <v/>
      </c>
      <c r="H222" s="3" t="str">
        <f t="shared" si="35"/>
        <v/>
      </c>
    </row>
    <row r="223" spans="2:11" x14ac:dyDescent="0.2">
      <c r="E223" s="3" t="str">
        <f t="shared" si="32"/>
        <v/>
      </c>
      <c r="G223" s="3" t="str">
        <f t="shared" si="34"/>
        <v/>
      </c>
      <c r="H223" s="3" t="str">
        <f t="shared" si="35"/>
        <v/>
      </c>
    </row>
  </sheetData>
  <phoneticPr fontId="2" type="noConversion"/>
  <dataValidations count="1">
    <dataValidation type="whole" allowBlank="1" showInputMessage="1" showErrorMessage="1" sqref="D6:D93 D95:D234">
      <formula1>0</formula1>
      <formula2>63</formula2>
    </dataValidation>
  </dataValidations>
  <pageMargins left="0.75" right="0.75" top="1" bottom="1" header="0.5" footer="0.5"/>
  <pageSetup paperSize="9" orientation="portrait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Fault Codes</vt:lpstr>
    </vt:vector>
  </TitlesOfParts>
  <Company>SEVCON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Shipley</dc:creator>
  <cp:lastModifiedBy>Utilisateur Windows</cp:lastModifiedBy>
  <dcterms:created xsi:type="dcterms:W3CDTF">2005-10-28T07:35:41Z</dcterms:created>
  <dcterms:modified xsi:type="dcterms:W3CDTF">2018-01-23T09:11:33Z</dcterms:modified>
</cp:coreProperties>
</file>